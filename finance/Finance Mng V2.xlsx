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mple Dashboard" sheetId="1" state="visible" r:id="rId3"/>
    <sheet name="Detailed Dashboard" sheetId="2" state="visible" r:id="rId4"/>
    <sheet name="Ledger" sheetId="3" state="visible" r:id="rId5"/>
    <sheet name="Monthly Budget" sheetId="4" state="visible" r:id="rId6"/>
    <sheet name="Reconciliation" sheetId="5" state="visible" r:id="rId7"/>
    <sheet name="Configuration" sheetId="6" state="visible" r:id="rId8"/>
  </sheets>
  <definedNames>
    <definedName function="false" hidden="true" localSheetId="2" name="_xlnm._FilterDatabase" vbProcedure="false">Ledger!$A$1:$M$113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<sst xmlns="http://schemas.openxmlformats.org/spreadsheetml/2006/main" count="679" uniqueCount="264">
  <si>
    <t xml:space="preserve">SIMPLE DASHBOARD</t>
  </si>
  <si>
    <t xml:space="preserve">THIS MONTH — PACE</t>
  </si>
  <si>
    <t xml:space="preserve">Month</t>
  </si>
  <si>
    <t xml:space="preserve">Days left</t>
  </si>
  <si>
    <t xml:space="preserve">Budget remaining</t>
  </si>
  <si>
    <t xml:space="preserve">Safe to spend / day</t>
  </si>
  <si>
    <t xml:space="preserve">Budget used %</t>
  </si>
  <si>
    <t xml:space="preserve">Month elapsed %</t>
  </si>
  <si>
    <t xml:space="preserve">Pace check</t>
  </si>
  <si>
    <t xml:space="preserve">UPCOMING CREDIT CARD BILLS</t>
  </si>
  <si>
    <t xml:space="preserve">HDFC Credit Card</t>
  </si>
  <si>
    <t xml:space="preserve">ICICI Credit Card</t>
  </si>
  <si>
    <t xml:space="preserve">Total CC due</t>
  </si>
  <si>
    <t xml:space="preserve">FREE TO ALLOCATE — emergency · invest · goals</t>
  </si>
  <si>
    <t xml:space="preserve">Total liquid savings</t>
  </si>
  <si>
    <t xml:space="preserve">savings + cash + wallets</t>
  </si>
  <si>
    <t xml:space="preserve">Budget still reserved</t>
  </si>
  <si>
    <t xml:space="preserve">money still needed for this month's budget</t>
  </si>
  <si>
    <t xml:space="preserve">Free to allocate</t>
  </si>
  <si>
    <t xml:space="preserve">total savings − budget remaining</t>
  </si>
  <si>
    <t xml:space="preserve">NEXT MONTH FREE-TO-ALLOCATE — estimate</t>
  </si>
  <si>
    <t xml:space="preserve">Free to allocate (today)</t>
  </si>
  <si>
    <t xml:space="preserve">starting point</t>
  </si>
  <si>
    <t xml:space="preserve">− Pay all CC dues</t>
  </si>
  <si>
    <t xml:space="preserve">after clearing upcoming bills</t>
  </si>
  <si>
    <t xml:space="preserve">+ Monthly salary</t>
  </si>
  <si>
    <t xml:space="preserve">from Configuration (edit yellow cell)</t>
  </si>
  <si>
    <t xml:space="preserve">− Next month budget</t>
  </si>
  <si>
    <t xml:space="preserve">reserved for next month's spend cap</t>
  </si>
  <si>
    <t xml:space="preserve">Est. free next month</t>
  </si>
  <si>
    <t xml:space="preserve">potential surplus after CC + budget + salary</t>
  </si>
  <si>
    <t xml:space="preserve">Estimate = free-to-allocate today − CC dues + monthly salary − next month's budget. Assumes you finish this month's remaining budget and pay full CC dues. If this month's salary is already in liquid savings, it is already counted — use Configuration monthly salary as take-home you expect to receive for the next cycle.</t>
  </si>
  <si>
    <t xml:space="preserve">DETAILED DASHBOARD</t>
  </si>
  <si>
    <t xml:space="preserve">Full snapshot + charts. Day-to-day numbers live on Simple Dashboard. Reload after phone saves.</t>
  </si>
  <si>
    <t xml:space="preserve">PACE — BE CAREFUL</t>
  </si>
  <si>
    <t xml:space="preserve">CHART DATA</t>
  </si>
  <si>
    <t xml:space="preserve">Days left in month</t>
  </si>
  <si>
    <t xml:space="preserve">Days elapsed</t>
  </si>
  <si>
    <t xml:space="preserve">Budget slice</t>
  </si>
  <si>
    <t xml:space="preserve">Amount</t>
  </si>
  <si>
    <t xml:space="preserve">Monthly Budget</t>
  </si>
  <si>
    <t xml:space="preserve">Budget spent</t>
  </si>
  <si>
    <t xml:space="preserve">Spent</t>
  </si>
  <si>
    <t xml:space="preserve">Safe to spend / day left</t>
  </si>
  <si>
    <t xml:space="preserve">Remaining</t>
  </si>
  <si>
    <t xml:space="preserve">(Over budget ignored in pie; see pace check)</t>
  </si>
  <si>
    <t xml:space="preserve">Tip: Safe ₹/day = budget remaining ÷ days left (including today). If used % is above month elapsed %, you are burning budget too fast.</t>
  </si>
  <si>
    <t xml:space="preserve">Last 6 months</t>
  </si>
  <si>
    <t xml:space="preserve">THIS MONTH</t>
  </si>
  <si>
    <t xml:space="preserve">Income</t>
  </si>
  <si>
    <t xml:space="preserve">Budget Exp</t>
  </si>
  <si>
    <t xml:space="preserve">Budget Expenses</t>
  </si>
  <si>
    <t xml:space="preserve">Outstanding</t>
  </si>
  <si>
    <t xml:space="preserve">Non-Budget Expenses</t>
  </si>
  <si>
    <t xml:space="preserve">Limit / Available</t>
  </si>
  <si>
    <t xml:space="preserve">Est. Savings</t>
  </si>
  <si>
    <t xml:space="preserve">Utilization</t>
  </si>
  <si>
    <t xml:space="preserve">Investments</t>
  </si>
  <si>
    <t xml:space="preserve">EMIs + Rent</t>
  </si>
  <si>
    <t xml:space="preserve">Spend by category (this month)</t>
  </si>
  <si>
    <t xml:space="preserve">Category</t>
  </si>
  <si>
    <t xml:space="preserve">Groceries - Online</t>
  </si>
  <si>
    <t xml:space="preserve">Groceries - Physical</t>
  </si>
  <si>
    <t xml:space="preserve">Free to allocate = liquid − budget remaining (does not subtract CC). Next-month estimate = free today − CC dues + salary − next budget. Set Monthly Salary on Configuration.</t>
  </si>
  <si>
    <t xml:space="preserve">Eating outside</t>
  </si>
  <si>
    <t xml:space="preserve">Food delivery</t>
  </si>
  <si>
    <t xml:space="preserve">Cafe / Snacks</t>
  </si>
  <si>
    <t xml:space="preserve">Petrol</t>
  </si>
  <si>
    <t xml:space="preserve">Cab / Auto</t>
  </si>
  <si>
    <t xml:space="preserve">Salon</t>
  </si>
  <si>
    <t xml:space="preserve">ACCOUNT BALANCES</t>
  </si>
  <si>
    <t xml:space="preserve">NET WORTH</t>
  </si>
  <si>
    <t xml:space="preserve">Subscription</t>
  </si>
  <si>
    <t xml:space="preserve">Account</t>
  </si>
  <si>
    <t xml:space="preserve">Balance / Due</t>
  </si>
  <si>
    <t xml:space="preserve">Savings &amp; Cash</t>
  </si>
  <si>
    <t xml:space="preserve">Electricity bill</t>
  </si>
  <si>
    <t xml:space="preserve">FD</t>
  </si>
  <si>
    <t xml:space="preserve">House cleaning (UC)</t>
  </si>
  <si>
    <t xml:space="preserve">Investments (MF)</t>
  </si>
  <si>
    <t xml:space="preserve">Shopping - Online</t>
  </si>
  <si>
    <t xml:space="preserve">Total Assets</t>
  </si>
  <si>
    <t xml:space="preserve">Entertainment</t>
  </si>
  <si>
    <t xml:space="preserve">Credit Card Due</t>
  </si>
  <si>
    <t xml:space="preserve">Medical</t>
  </si>
  <si>
    <t xml:space="preserve">Other</t>
  </si>
  <si>
    <t xml:space="preserve">Charts sit below · Chart source tables in columns H–J</t>
  </si>
  <si>
    <t xml:space="preserve">Date</t>
  </si>
  <si>
    <t xml:space="preserve">Time</t>
  </si>
  <si>
    <t xml:space="preserve">Day</t>
  </si>
  <si>
    <t xml:space="preserve">Year</t>
  </si>
  <si>
    <t xml:space="preserve">Type</t>
  </si>
  <si>
    <t xml:space="preserve">Amount (₹)</t>
  </si>
  <si>
    <t xml:space="preserve">From Account</t>
  </si>
  <si>
    <t xml:space="preserve">To Account</t>
  </si>
  <si>
    <t xml:space="preserve">Include in Budget</t>
  </si>
  <si>
    <t xml:space="preserve">Notes</t>
  </si>
  <si>
    <t xml:space="preserve">Source</t>
  </si>
  <si>
    <t xml:space="preserve">Expense</t>
  </si>
  <si>
    <t xml:space="preserve">UK power bill</t>
  </si>
  <si>
    <t xml:space="preserve">Swiggy food</t>
  </si>
  <si>
    <t xml:space="preserve">Refund</t>
  </si>
  <si>
    <t xml:space="preserve">Swiggy refund</t>
  </si>
  <si>
    <t xml:space="preserve">BookMyShow</t>
  </si>
  <si>
    <t xml:space="preserve">Employer</t>
  </si>
  <si>
    <t xml:space="preserve">HDFC Savings</t>
  </si>
  <si>
    <t xml:space="preserve">Salary</t>
  </si>
  <si>
    <t xml:space="preserve">Aug salary credit</t>
  </si>
  <si>
    <t xml:space="preserve">Local tea snack</t>
  </si>
  <si>
    <t xml:space="preserve">Protein Hub</t>
  </si>
  <si>
    <t xml:space="preserve">Value Mart</t>
  </si>
  <si>
    <t xml:space="preserve">Urban Company</t>
  </si>
  <si>
    <t xml:space="preserve">Zepto groceries</t>
  </si>
  <si>
    <t xml:space="preserve">Zomato food</t>
  </si>
  <si>
    <t xml:space="preserve">Family Expense</t>
  </si>
  <si>
    <t xml:space="preserve">Monthly to dad</t>
  </si>
  <si>
    <t xml:space="preserve">Rent</t>
  </si>
  <si>
    <t xml:space="preserve">Monthly rent</t>
  </si>
  <si>
    <t xml:space="preserve">Credit Card Payment</t>
  </si>
  <si>
    <t xml:space="preserve">Credit Card Bill</t>
  </si>
  <si>
    <t xml:space="preserve">ICICI CC bill</t>
  </si>
  <si>
    <t xml:space="preserve">Transfer</t>
  </si>
  <si>
    <t xml:space="preserve">To Hency Patel</t>
  </si>
  <si>
    <t xml:space="preserve">Travel / Flight</t>
  </si>
  <si>
    <t xml:space="preserve">IndiGo flight – mansi &amp; mummy flight to hyd for 1 week, rakshabandhan. Round trip</t>
  </si>
  <si>
    <t xml:space="preserve">Akshayakalpa milk</t>
  </si>
  <si>
    <t xml:space="preserve">Blinkit groceries</t>
  </si>
  <si>
    <t xml:space="preserve">Reimbursement</t>
  </si>
  <si>
    <t xml:space="preserve">dad returning money for return flight</t>
  </si>
  <si>
    <t xml:space="preserve">Pharmacy</t>
  </si>
  <si>
    <t xml:space="preserve">Gokhana food</t>
  </si>
  <si>
    <t xml:space="preserve">Parking</t>
  </si>
  <si>
    <t xml:space="preserve">Local shop</t>
  </si>
  <si>
    <t xml:space="preserve">Internet / WiFi</t>
  </si>
  <si>
    <t xml:space="preserve">Airtel recharge</t>
  </si>
  <si>
    <t xml:space="preserve">Local food stall</t>
  </si>
  <si>
    <t xml:space="preserve">Traffic challan</t>
  </si>
  <si>
    <t xml:space="preserve">Cyberpunk2077 game</t>
  </si>
  <si>
    <t xml:space="preserve">AI API Credits</t>
  </si>
  <si>
    <t xml:space="preserve">Deepseek api credit 2$</t>
  </si>
  <si>
    <t xml:space="preserve">manual</t>
  </si>
  <si>
    <t xml:space="preserve">MONTHLY BUDGET</t>
  </si>
  <si>
    <t xml:space="preserve">Only the Budget column is manual (yellow). All other figures come from the Ledger.</t>
  </si>
  <si>
    <t xml:space="preserve">Budget</t>
  </si>
  <si>
    <t xml:space="preserve">Income / Salary</t>
  </si>
  <si>
    <t xml:space="preserve">Remaining Budget</t>
  </si>
  <si>
    <t xml:space="preserve">EMIs</t>
  </si>
  <si>
    <t xml:space="preserve">CC Payments</t>
  </si>
  <si>
    <t xml:space="preserve">Est. Savings (Income − outflows)</t>
  </si>
  <si>
    <t xml:space="preserve">MONTH-BY-MONTH — only Budget (col B) is editable</t>
  </si>
  <si>
    <t xml:space="preserve">Month Start</t>
  </si>
  <si>
    <t xml:space="preserve">Non-Budget Exp</t>
  </si>
  <si>
    <t xml:space="preserve">Label</t>
  </si>
  <si>
    <t xml:space="preserve">ACCOUNT RECONCILIATION</t>
  </si>
  <si>
    <t xml:space="preserve">Calculated balance always comes from Opening + Ledger. Enter Actual only when you check your bank/app. If Difference ≠ 0: find the missing txn, or add Type=Adjustment. Never overwrite Calculated.</t>
  </si>
  <si>
    <t xml:space="preserve">Calculated</t>
  </si>
  <si>
    <t xml:space="preserve">Actual</t>
  </si>
  <si>
    <t xml:space="preserve">Difference</t>
  </si>
  <si>
    <t xml:space="preserve">Last Reconciled</t>
  </si>
  <si>
    <t xml:space="preserve">Bank stmt close Aug 6</t>
  </si>
  <si>
    <t xml:space="preserve">No Aug activity</t>
  </si>
  <si>
    <t xml:space="preserve">Approx = Aug CC spends (no prior due in sheet)</t>
  </si>
  <si>
    <t xml:space="preserve">Stmt residual after bill pay + cycle spends</t>
  </si>
  <si>
    <t xml:space="preserve">HOW TO FIX A DIFFERENCE</t>
  </si>
  <si>
    <t xml:space="preserve">1. Investigate bank statement / UPI history for the gap.</t>
  </si>
  <si>
    <t xml:space="preserve">2. If you find the missing txn → add it to the Ledger (do not edit Calculated).</t>
  </si>
  <si>
    <t xml:space="preserve">3. If you cannot find it → Ledger: Type=Adjustment, Category=Reconciliation, Notes=explain.</t>
  </si>
  <si>
    <t xml:space="preserve">4. After Ledger update, Calculated should match Actual. Set Last Reconciled = today.</t>
  </si>
  <si>
    <t xml:space="preserve">5. Never type over a balance to "make it right" — that destroys history.</t>
  </si>
  <si>
    <t xml:space="preserve">CONFIGURATION</t>
  </si>
  <si>
    <t xml:space="preserve">Edit only yellow cells. Everything else is derived from the Ledger. Do not store current balances here — only opening balances and credit limits.</t>
  </si>
  <si>
    <t xml:space="preserve">BUDGET DEFAULT</t>
  </si>
  <si>
    <t xml:space="preserve">Setting</t>
  </si>
  <si>
    <t xml:space="preserve">Value</t>
  </si>
  <si>
    <t xml:space="preserve">Default Monthly Budget (₹)</t>
  </si>
  <si>
    <t xml:space="preserve">Override per month on Monthly Budget sheet</t>
  </si>
  <si>
    <t xml:space="preserve">Monthly Salary (₹)</t>
  </si>
  <si>
    <t xml:space="preserve">Take-home used for next-month free-to-allocate estimate on dashboards</t>
  </si>
  <si>
    <t xml:space="preserve">ACCOUNTS</t>
  </si>
  <si>
    <t xml:space="preserve">LEDGER TYPES</t>
  </si>
  <si>
    <t xml:space="preserve">TYPE GUIDE</t>
  </si>
  <si>
    <t xml:space="preserve">Every ledger entry moves money From Account → To Account. Opening Balance is the starting point only.</t>
  </si>
  <si>
    <t xml:space="preserve">From → To pattern</t>
  </si>
  <si>
    <t xml:space="preserve">Opening Balance (₹)</t>
  </si>
  <si>
    <t xml:space="preserve">Credit Limit (₹)</t>
  </si>
  <si>
    <t xml:space="preserve">Include in Net Worth</t>
  </si>
  <si>
    <t xml:space="preserve">From=Employer → To=bank/cash. Budget=FALSE.</t>
  </si>
  <si>
    <t xml:space="preserve">Asset</t>
  </si>
  <si>
    <t xml:space="preserve">TRUE</t>
  </si>
  <si>
    <t xml:space="preserve">Aug-only start (pre-salary book amount; salary row is Income)</t>
  </si>
  <si>
    <t xml:space="preserve">From=account/card → To=Expense. Budget=TRUE for normal spends.</t>
  </si>
  <si>
    <t xml:space="preserve">ICICI Savings</t>
  </si>
  <si>
    <t xml:space="preserve">No Aug ICICI sav txs; balance as of end-Jul</t>
  </si>
  <si>
    <t xml:space="preserve">Between your accounts. Budget=FALSE.</t>
  </si>
  <si>
    <t xml:space="preserve">Cash</t>
  </si>
  <si>
    <t xml:space="preserve">From=savings → To=credit card. Budget=FALSE.</t>
  </si>
  <si>
    <t xml:space="preserve">Wallet</t>
  </si>
  <si>
    <t xml:space="preserve">UPI wallets etc.</t>
  </si>
  <si>
    <t xml:space="preserve">From=Expense → To=account/card.</t>
  </si>
  <si>
    <t xml:space="preserve">Liability</t>
  </si>
  <si>
    <t xml:space="preserve">Aug-only: prior due cleared in sheet; due = this cycle spends</t>
  </si>
  <si>
    <t xml:space="preserve">Investment</t>
  </si>
  <si>
    <t xml:space="preserve">From=savings → To=FD / Mutual Fund. Budget=FALSE.</t>
  </si>
  <si>
    <t xml:space="preserve">Open = prior bill 11,723.51; +cycle spends − pay → due ≈ 3,795</t>
  </si>
  <si>
    <t xml:space="preserve">Adjustment</t>
  </si>
  <si>
    <t xml:space="preserve">Reconciliation catch-up. Keeps ledger as source of truth.</t>
  </si>
  <si>
    <t xml:space="preserve">Fixed deposits</t>
  </si>
  <si>
    <t xml:space="preserve">Mutual Fund</t>
  </si>
  <si>
    <t xml:space="preserve">Virtual</t>
  </si>
  <si>
    <t xml:space="preserve">FALSE</t>
  </si>
  <si>
    <t xml:space="preserve">Counterparty for salary / income</t>
  </si>
  <si>
    <t xml:space="preserve">Counterparty for spends</t>
  </si>
  <si>
    <t xml:space="preserve">External</t>
  </si>
  <si>
    <t xml:space="preserve">Outside world / unknown source</t>
  </si>
  <si>
    <t xml:space="preserve">CATEGORIES</t>
  </si>
  <si>
    <t xml:space="preserve">Add new rows under the list (yellow). Group helps review. Typical Budget? = default hint — override per Ledger entry.</t>
  </si>
  <si>
    <t xml:space="preserve">Group</t>
  </si>
  <si>
    <t xml:space="preserve">Typical Budget?</t>
  </si>
  <si>
    <t xml:space="preserve">Food</t>
  </si>
  <si>
    <t xml:space="preserve">Transport</t>
  </si>
  <si>
    <t xml:space="preserve">Metro / Bus</t>
  </si>
  <si>
    <t xml:space="preserve">Vehicle service</t>
  </si>
  <si>
    <t xml:space="preserve">Home</t>
  </si>
  <si>
    <t xml:space="preserve">Water / Gas</t>
  </si>
  <si>
    <t xml:space="preserve">Home maintenance</t>
  </si>
  <si>
    <t xml:space="preserve">Household / Kitchen</t>
  </si>
  <si>
    <t xml:space="preserve">Personal</t>
  </si>
  <si>
    <t xml:space="preserve">Pharmacy / Medicine</t>
  </si>
  <si>
    <t xml:space="preserve">Fitness / Gym</t>
  </si>
  <si>
    <t xml:space="preserve">Clothes / Fashion</t>
  </si>
  <si>
    <t xml:space="preserve">Personal care</t>
  </si>
  <si>
    <t xml:space="preserve">Lifestyle</t>
  </si>
  <si>
    <t xml:space="preserve">Subscription - OTT</t>
  </si>
  <si>
    <t xml:space="preserve">Subscription - Software</t>
  </si>
  <si>
    <t xml:space="preserve">Shopping - Offline</t>
  </si>
  <si>
    <t xml:space="preserve">Technology</t>
  </si>
  <si>
    <t xml:space="preserve">Gifts</t>
  </si>
  <si>
    <t xml:space="preserve">Education / Courses</t>
  </si>
  <si>
    <t xml:space="preserve">Mobile recharge</t>
  </si>
  <si>
    <t xml:space="preserve">Laptop / Electronics</t>
  </si>
  <si>
    <t xml:space="preserve">Travel</t>
  </si>
  <si>
    <t xml:space="preserve">Hotels / Stay</t>
  </si>
  <si>
    <t xml:space="preserve">Travel - Local</t>
  </si>
  <si>
    <t xml:space="preserve">Fixed</t>
  </si>
  <si>
    <t xml:space="preserve">Insurance</t>
  </si>
  <si>
    <t xml:space="preserve">Bank Charges</t>
  </si>
  <si>
    <t xml:space="preserve">Cashback</t>
  </si>
  <si>
    <t xml:space="preserve">Interest / Dividends</t>
  </si>
  <si>
    <t xml:space="preserve">Bonus</t>
  </si>
  <si>
    <t xml:space="preserve">FD Deposit</t>
  </si>
  <si>
    <t xml:space="preserve">Finance</t>
  </si>
  <si>
    <t xml:space="preserve">FD Maturity</t>
  </si>
  <si>
    <t xml:space="preserve">Reconciliation</t>
  </si>
  <si>
    <t xml:space="preserve">RULES</t>
  </si>
  <si>
    <t xml:space="preserve">1. Enter every money movement exactly once in the Ledger. Never edit calculated balances.</t>
  </si>
  <si>
    <t xml:space="preserve">2. From Account / To Account replace Payment Method + Credit Card.</t>
  </si>
  <si>
    <t xml:space="preserve">3. Amount is always positive. Direction is entirely From → To.</t>
  </si>
  <si>
    <t xml:space="preserve">4. Include in Budget = TRUE only for normal monthly spends under the budget cap.</t>
  </si>
  <si>
    <t xml:space="preserve">5. Rent, EMI, salary, transfers, investments, CC bill payments → usually Budget = FALSE.</t>
  </si>
  <si>
    <t xml:space="preserve">6. Opening balances on this sheet are the ONLY manual balance inputs (starting point).</t>
  </si>
  <si>
    <t xml:space="preserve">7. When calculated ≠ bank app, use Reconciliation → add missing Ledger row or Adjustment.</t>
  </si>
  <si>
    <t xml:space="preserve">8. Asset = Opening + To − From. Liability due = Opening + From − To.</t>
  </si>
  <si>
    <t xml:space="preserve">9. Prefer a specific category over Other — Dashboard review becomes much easier.</t>
  </si>
  <si>
    <t xml:space="preserve">10. To add a category: fill the next blank yellow row (name + Group + Typical Budget?).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</si>
</sst>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₹#,##0.00"/>
    <numFmt numFmtId="167" formatCode="0.0%"/>
    <numFmt numFmtId="168" formatCode="dd/mm/yyyy"/>
    <numFmt numFmtId="169" formatCode="hh:mm"/>
    <numFmt numFmtId="170" formatCode="mmm\ 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sz val="11"/>
      <name val="Cambria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B71C1C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AF8"/>
        <bgColor rgb="FFE8F5E9"/>
      </patternFill>
    </fill>
    <fill>
      <patternFill patternType="solid">
        <fgColor rgb="FFFFF8E1"/>
        <bgColor rgb="FFFFF2CC"/>
      </patternFill>
    </fill>
    <fill>
      <patternFill patternType="solid">
        <fgColor rgb="FFC8E6C9"/>
        <bgColor rgb="FFD9D9D9"/>
      </patternFill>
    </fill>
    <fill>
      <patternFill patternType="solid">
        <fgColor rgb="FFE8F5E9"/>
        <bgColor rgb="FFFFF8E1"/>
      </patternFill>
    </fill>
    <fill>
      <patternFill patternType="solid">
        <fgColor rgb="FFFFCDD2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F81BD"/>
      <rgbColor rgb="FF9999FF"/>
      <rgbColor rgb="FFC0504D"/>
      <rgbColor rgb="FFFFF8E1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2CC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B71C1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Last 6 months: income vs budget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'Detailed Dashboard'!I11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Dashboard'!$H$12:$H$17</c:f>
              <c:strCache>
                <c:ptCount val="6"/>
                <c:pt idx="0">
                  <c:v>Mar 26</c:v>
                </c:pt>
                <c:pt idx="1">
                  <c:v>Apr 26</c:v>
                </c:pt>
                <c:pt idx="2">
                  <c:v>May 26</c:v>
                </c:pt>
                <c:pt idx="3">
                  <c:v>Jun 26</c:v>
                </c:pt>
                <c:pt idx="4">
                  <c:v>Jul 26</c:v>
                </c:pt>
                <c:pt idx="5">
                  <c:v>Aug 26</c:v>
                </c:pt>
              </c:strCache>
            </c:strRef>
          </c:cat>
          <c:val>
            <c:numRef>
              <c:f>'Detailed Dashboard'!$I$12:$I$17</c:f>
              <c:numCache>
                <c:formatCode>\₹#,##0.00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83167</c:v>
                </c:pt>
              </c:numCache>
            </c:numRef>
          </c:val>
        </c:ser>
        <c:ser>
          <c:idx val="1"/>
          <c:order val="1"/>
          <c:tx>
            <c:strRef>
              <c:f>'Detailed Dashboard'!J11</c:f>
              <c:strCache>
                <c:ptCount val="1"/>
                <c:pt idx="0">
                  <c:v>Budget Exp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Dashboard'!$H$12:$H$17</c:f>
              <c:strCache>
                <c:ptCount val="6"/>
                <c:pt idx="0">
                  <c:v>Mar 26</c:v>
                </c:pt>
                <c:pt idx="1">
                  <c:v>Apr 26</c:v>
                </c:pt>
                <c:pt idx="2">
                  <c:v>May 26</c:v>
                </c:pt>
                <c:pt idx="3">
                  <c:v>Jun 26</c:v>
                </c:pt>
                <c:pt idx="4">
                  <c:v>Jul 26</c:v>
                </c:pt>
                <c:pt idx="5">
                  <c:v>Aug 26</c:v>
                </c:pt>
              </c:strCache>
            </c:strRef>
          </c:cat>
          <c:val>
            <c:numRef>
              <c:f>'Detailed Dashboard'!$J$12:$J$17</c:f>
              <c:numCache>
                <c:formatCode>\₹#,##0.00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3795.04</c:v>
                </c:pt>
                <c:pt idx="5">
                  <c:v>24740.33</c:v>
                </c:pt>
              </c:numCache>
            </c:numRef>
          </c:val>
        </c:ser>
        <c:gapWidth val="150"/>
        <c:overlap val="0"/>
        <c:axId val="18942810"/>
        <c:axId val="8773873"/>
      </c:barChart>
      <c:catAx>
        <c:axId val="18942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73873"/>
        <c:crosses val="autoZero"/>
        <c:auto val="1"/>
        <c:lblAlgn val="ctr"/>
        <c:lblOffset val="100"/>
        <c:noMultiLvlLbl val="0"/>
      </c:catAx>
      <c:valAx>
        <c:axId val="8773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9428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This month — where budget spend went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'Detailed Dashboard'!I20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'Detailed Dashboard'!$H$21:$H$35</c:f>
              <c:strCache>
                <c:ptCount val="15"/>
                <c:pt idx="0">
                  <c:v>Groceries - Online</c:v>
                </c:pt>
                <c:pt idx="1">
                  <c:v>Groceries - Physical</c:v>
                </c:pt>
                <c:pt idx="2">
                  <c:v>Eating outside</c:v>
                </c:pt>
                <c:pt idx="3">
                  <c:v>Food delivery</c:v>
                </c:pt>
                <c:pt idx="4">
                  <c:v>Cafe / Snacks</c:v>
                </c:pt>
                <c:pt idx="5">
                  <c:v>Petrol</c:v>
                </c:pt>
                <c:pt idx="6">
                  <c:v>Cab / Auto</c:v>
                </c:pt>
                <c:pt idx="7">
                  <c:v>Salon</c:v>
                </c:pt>
                <c:pt idx="8">
                  <c:v>Subscription</c:v>
                </c:pt>
                <c:pt idx="9">
                  <c:v>Electricity bill</c:v>
                </c:pt>
                <c:pt idx="10">
                  <c:v>House cleaning (UC)</c:v>
                </c:pt>
                <c:pt idx="11">
                  <c:v>Shopping - Online</c:v>
                </c:pt>
                <c:pt idx="12">
                  <c:v>Entertainment</c:v>
                </c:pt>
                <c:pt idx="13">
                  <c:v>Medical</c:v>
                </c:pt>
                <c:pt idx="14">
                  <c:v>Other</c:v>
                </c:pt>
              </c:strCache>
            </c:strRef>
          </c:cat>
          <c:val>
            <c:numRef>
              <c:f>'Detailed Dashboard'!$I$21:$I$35</c:f>
              <c:numCache>
                <c:formatCode>\₹#,##0.00</c:formatCode>
                <c:ptCount val="15"/>
                <c:pt idx="0">
                  <c:v>1069</c:v>
                </c:pt>
                <c:pt idx="1">
                  <c:v>280</c:v>
                </c:pt>
                <c:pt idx="2">
                  <c:v>1028.33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</c:v>
                </c:pt>
                <c:pt idx="11">
                  <c:v>0</c:v>
                </c:pt>
                <c:pt idx="12">
                  <c:v>899</c:v>
                </c:pt>
                <c:pt idx="13">
                  <c:v>5</c:v>
                </c:pt>
                <c:pt idx="14">
                  <c:v>135</c:v>
                </c:pt>
              </c:numCache>
            </c:numRef>
          </c:val>
        </c:ser>
        <c:gapWidth val="150"/>
        <c:overlap val="0"/>
        <c:axId val="52816030"/>
        <c:axId val="40535242"/>
      </c:barChart>
      <c:catAx>
        <c:axId val="528160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535242"/>
        <c:crosses val="autoZero"/>
        <c:auto val="1"/>
        <c:lblAlgn val="ctr"/>
        <c:lblOffset val="100"/>
        <c:noMultiLvlLbl val="0"/>
      </c:catAx>
      <c:valAx>
        <c:axId val="405352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8160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577800</xdr:colOff>
      <xdr:row>39</xdr:row>
      <xdr:rowOff>185400</xdr:rowOff>
    </xdr:from>
    <xdr:to>
      <xdr:col>8</xdr:col>
      <xdr:colOff>135360</xdr:colOff>
      <xdr:row>56</xdr:row>
      <xdr:rowOff>183960</xdr:rowOff>
    </xdr:to>
    <xdr:graphicFrame>
      <xdr:nvGraphicFramePr>
        <xdr:cNvPr id="1" name="Chart 2"/>
        <xdr:cNvGraphicFramePr/>
      </xdr:nvGraphicFramePr>
      <xdr:xfrm>
        <a:off x="5698440" y="8376840"/>
        <a:ext cx="539820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98640</xdr:rowOff>
    </xdr:from>
    <xdr:to>
      <xdr:col>3</xdr:col>
      <xdr:colOff>277560</xdr:colOff>
      <xdr:row>68</xdr:row>
      <xdr:rowOff>77040</xdr:rowOff>
    </xdr:to>
    <xdr:graphicFrame>
      <xdr:nvGraphicFramePr>
        <xdr:cNvPr id="2" name="Chart 3"/>
        <xdr:cNvGraphicFramePr/>
      </xdr:nvGraphicFramePr>
      <xdr:xfrm>
        <a:off x="0" y="10195200"/>
        <a:ext cx="539820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25" activeCellId="0" sqref="A25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4"/>
      <c r="C3" s="4"/>
      <c r="D3" s="4"/>
      <c r="E3" s="3"/>
      <c r="F3" s="3"/>
    </row>
    <row r="4" customFormat="false" ht="17.25" hidden="false" customHeight="true" outlineLevel="0" collapsed="false">
      <c r="A4" s="5" t="s">
        <v>2</v>
      </c>
      <c r="B4" s="6" t="str">
        <f aca="true">TEXT(TODAY(),"MMMM YYYY")</f>
        <v>August 2026</v>
      </c>
      <c r="C4" s="5" t="s">
        <v>3</v>
      </c>
      <c r="D4" s="7" t="n">
        <f aca="true">EOMONTH(TODAY(),0)-TODAY()+1</f>
        <v>25</v>
      </c>
      <c r="E4" s="3"/>
      <c r="F4" s="3"/>
    </row>
    <row r="5" customFormat="false" ht="17.25" hidden="false" customHeight="true" outlineLevel="0" collapsed="false">
      <c r="A5" s="8" t="s">
        <v>4</v>
      </c>
      <c r="B5" s="9" t="n">
        <f aca="false">'Monthly Budget'!B9</f>
        <v>6259.67</v>
      </c>
      <c r="C5" s="8" t="s">
        <v>5</v>
      </c>
      <c r="D5" s="10" t="n">
        <f aca="false">IF(D4&lt;=0,0,MAX(0,B5)/D4)</f>
        <v>250.3868</v>
      </c>
      <c r="E5" s="3"/>
      <c r="F5" s="3"/>
    </row>
    <row r="6" customFormat="false" ht="15" hidden="false" customHeight="true" outlineLevel="0" collapsed="false">
      <c r="A6" s="5" t="s">
        <v>6</v>
      </c>
      <c r="B6" s="11" t="n">
        <f aca="false">'Monthly Budget'!B16</f>
        <v>0.798075161290323</v>
      </c>
      <c r="C6" s="5" t="s">
        <v>7</v>
      </c>
      <c r="D6" s="11" t="n">
        <f aca="true">DAY(TODAY())/DAY(EOMONTH(TODAY(),0))</f>
        <v>0.225806451612903</v>
      </c>
      <c r="E6" s="3"/>
      <c r="F6" s="3"/>
    </row>
    <row r="7" customFormat="false" ht="21.75" hidden="false" customHeight="true" outlineLevel="0" collapsed="false">
      <c r="A7" s="8" t="s">
        <v>8</v>
      </c>
      <c r="B7" s="12" t="str">
        <f aca="false">IF(B5&lt;0,"OVER BUDGET — stop discretionary spend",IF(B6&gt;D6+0.05,"Spending faster than the month — slow down",IF(B6&gt;D6,"Slightly ahead of pace — be careful","On track")))</f>
        <v>Spending faster than the month — slow down</v>
      </c>
      <c r="C7" s="12"/>
      <c r="D7" s="12"/>
      <c r="E7" s="3"/>
      <c r="F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</row>
    <row r="9" customFormat="false" ht="15" hidden="false" customHeight="true" outlineLevel="0" collapsed="false">
      <c r="A9" s="4" t="s">
        <v>9</v>
      </c>
      <c r="B9" s="4"/>
      <c r="C9" s="4"/>
      <c r="D9" s="4"/>
      <c r="E9" s="3"/>
      <c r="F9" s="3"/>
    </row>
    <row r="10" customFormat="false" ht="15" hidden="false" customHeight="true" outlineLevel="0" collapsed="false">
      <c r="A10" s="5" t="s">
        <v>10</v>
      </c>
      <c r="B10" s="13" t="n">
        <f aca="false">Configuration!C15+SUMIF(Ledger!$H:$H,"HDFC Credit Card",Ledger!$G:$G)-SUMIF(Ledger!$I:$I,"HDFC Credit Card",Ledger!$G:$G)</f>
        <v>32765.33</v>
      </c>
      <c r="C10" s="14"/>
      <c r="D10" s="3"/>
      <c r="E10" s="3"/>
      <c r="F10" s="3"/>
    </row>
    <row r="11" customFormat="false" ht="15" hidden="false" customHeight="true" outlineLevel="0" collapsed="false">
      <c r="A11" s="5" t="s">
        <v>11</v>
      </c>
      <c r="B11" s="13" t="n">
        <f aca="false">Configuration!C16+SUMIF(Ledger!$H:$H,"ICICI Credit Card",Ledger!$G:$G)-SUMIF(Ledger!$I:$I,"ICICI Credit Card",Ledger!$G:$G)</f>
        <v>3795.04</v>
      </c>
      <c r="C11" s="14"/>
      <c r="D11" s="3"/>
      <c r="E11" s="3"/>
      <c r="F11" s="3"/>
    </row>
    <row r="12" customFormat="false" ht="15" hidden="false" customHeight="true" outlineLevel="0" collapsed="false">
      <c r="A12" s="8" t="s">
        <v>12</v>
      </c>
      <c r="B12" s="15" t="n">
        <f aca="false">B10+B11</f>
        <v>36560.37</v>
      </c>
      <c r="C12" s="3"/>
      <c r="D12" s="3"/>
      <c r="E12" s="3"/>
      <c r="F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</row>
    <row r="14" customFormat="false" ht="15" hidden="false" customHeight="true" outlineLevel="0" collapsed="false">
      <c r="A14" s="4" t="s">
        <v>13</v>
      </c>
      <c r="B14" s="4"/>
      <c r="C14" s="4"/>
      <c r="D14" s="4"/>
      <c r="E14" s="3"/>
      <c r="F14" s="3"/>
    </row>
    <row r="15" customFormat="false" ht="15" hidden="false" customHeight="true" outlineLevel="0" collapsed="false">
      <c r="A15" s="5" t="s">
        <v>14</v>
      </c>
      <c r="B15" s="13" t="n">
        <f aca="false">Reconciliation!C5+Reconciliation!C6+Reconciliation!C7+Reconciliation!C8</f>
        <v>47791.56</v>
      </c>
      <c r="C15" s="14" t="s">
        <v>15</v>
      </c>
      <c r="D15" s="3"/>
      <c r="E15" s="3"/>
      <c r="F15" s="3"/>
    </row>
    <row r="16" customFormat="false" ht="15" hidden="false" customHeight="true" outlineLevel="0" collapsed="false">
      <c r="A16" s="5" t="s">
        <v>16</v>
      </c>
      <c r="B16" s="13" t="n">
        <f aca="false">MAX(0,B5)</f>
        <v>6259.67</v>
      </c>
      <c r="C16" s="14" t="s">
        <v>17</v>
      </c>
      <c r="D16" s="3"/>
      <c r="E16" s="3"/>
      <c r="F16" s="3"/>
    </row>
    <row r="17" customFormat="false" ht="19.5" hidden="false" customHeight="true" outlineLevel="0" collapsed="false">
      <c r="A17" s="8" t="s">
        <v>18</v>
      </c>
      <c r="B17" s="16" t="n">
        <f aca="false">B15-B16</f>
        <v>41531.89</v>
      </c>
      <c r="C17" s="14" t="s">
        <v>19</v>
      </c>
      <c r="D17" s="3"/>
      <c r="E17" s="3"/>
      <c r="F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</row>
    <row r="19" customFormat="false" ht="15" hidden="false" customHeight="true" outlineLevel="0" collapsed="false">
      <c r="A19" s="4" t="s">
        <v>20</v>
      </c>
      <c r="B19" s="4"/>
      <c r="C19" s="4"/>
      <c r="D19" s="4"/>
      <c r="E19" s="3"/>
      <c r="F19" s="3"/>
    </row>
    <row r="20" customFormat="false" ht="15" hidden="false" customHeight="true" outlineLevel="0" collapsed="false">
      <c r="A20" s="5" t="s">
        <v>21</v>
      </c>
      <c r="B20" s="13" t="n">
        <f aca="false">B17</f>
        <v>41531.89</v>
      </c>
      <c r="C20" s="14" t="s">
        <v>22</v>
      </c>
      <c r="D20" s="3"/>
      <c r="E20" s="3"/>
      <c r="F20" s="3"/>
    </row>
    <row r="21" customFormat="false" ht="15" hidden="false" customHeight="true" outlineLevel="0" collapsed="false">
      <c r="A21" s="5" t="s">
        <v>23</v>
      </c>
      <c r="B21" s="13" t="n">
        <f aca="false">B12</f>
        <v>36560.37</v>
      </c>
      <c r="C21" s="14" t="s">
        <v>24</v>
      </c>
      <c r="D21" s="3"/>
      <c r="E21" s="3"/>
      <c r="F21" s="3"/>
    </row>
    <row r="22" customFormat="false" ht="15" hidden="false" customHeight="true" outlineLevel="0" collapsed="false">
      <c r="A22" s="5" t="s">
        <v>25</v>
      </c>
      <c r="B22" s="13" t="n">
        <f aca="false">Configuration!B7</f>
        <v>83000</v>
      </c>
      <c r="C22" s="14" t="s">
        <v>26</v>
      </c>
      <c r="D22" s="3"/>
      <c r="E22" s="3"/>
      <c r="F22" s="3"/>
    </row>
    <row r="23" customFormat="false" ht="15" hidden="false" customHeight="true" outlineLevel="0" collapsed="false">
      <c r="A23" s="5" t="s">
        <v>27</v>
      </c>
      <c r="B23" s="13" t="n">
        <f aca="true">IFERROR(INDEX('Monthly Budget'!$B$20:$B$61,MATCH(EDATE(DATE(YEAR(TODAY()),MONTH(TODAY()),1),1),'Monthly Budget'!$A$20:$A$61,0)),Configuration!B6)</f>
        <v>31000</v>
      </c>
      <c r="C23" s="14" t="s">
        <v>28</v>
      </c>
      <c r="D23" s="3"/>
      <c r="E23" s="3"/>
      <c r="F23" s="3"/>
    </row>
    <row r="24" customFormat="false" ht="19.5" hidden="false" customHeight="true" outlineLevel="0" collapsed="false">
      <c r="A24" s="8" t="s">
        <v>29</v>
      </c>
      <c r="B24" s="17" t="n">
        <f aca="false">B20-B21+B22-B23</f>
        <v>56971.52</v>
      </c>
      <c r="C24" s="14" t="s">
        <v>30</v>
      </c>
      <c r="D24" s="3"/>
      <c r="E24" s="3"/>
      <c r="F24" s="3"/>
    </row>
    <row r="25" customFormat="false" ht="48" hidden="false" customHeight="true" outlineLevel="0" collapsed="false">
      <c r="A25" s="18" t="s">
        <v>31</v>
      </c>
      <c r="B25" s="18"/>
      <c r="C25" s="18"/>
      <c r="D25" s="18"/>
      <c r="E25" s="3"/>
      <c r="F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</row>
  </sheetData>
  <mergeCells count="6">
    <mergeCell ref="A3:D3"/>
    <mergeCell ref="B7:D7"/>
    <mergeCell ref="A9:D9"/>
    <mergeCell ref="A14:D14"/>
    <mergeCell ref="A19:D19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19" activePane="bottomLeft" state="frozen"/>
      <selection pane="topLeft" activeCell="A1" activeCellId="0" sqref="A1"/>
      <selection pane="bottomLeft" activeCell="C43" activeCellId="0" sqref="C43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"/>
    <col collapsed="false" customWidth="true" hidden="false" outlineLevel="0" max="8" min="8" style="1" width="22"/>
    <col collapsed="false" customWidth="true" hidden="false" outlineLevel="0" max="10" min="9" style="1" width="12"/>
  </cols>
  <sheetData>
    <row r="1" customFormat="false" ht="19.5" hidden="false" customHeight="true" outlineLevel="0" collapsed="false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18" t="s">
        <v>33</v>
      </c>
      <c r="B2" s="18"/>
      <c r="C2" s="18"/>
      <c r="D2" s="18"/>
      <c r="E2" s="18"/>
      <c r="F2" s="18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 t="s">
        <v>34</v>
      </c>
      <c r="B4" s="4"/>
      <c r="C4" s="4"/>
      <c r="D4" s="4"/>
      <c r="E4" s="4"/>
      <c r="F4" s="4"/>
      <c r="G4" s="3"/>
      <c r="H4" s="4" t="s">
        <v>35</v>
      </c>
      <c r="I4" s="4"/>
      <c r="J4" s="3"/>
      <c r="K4" s="3"/>
      <c r="L4" s="3"/>
    </row>
    <row r="5" customFormat="false" ht="17.25" hidden="false" customHeight="true" outlineLevel="0" collapsed="false">
      <c r="A5" s="5" t="s">
        <v>2</v>
      </c>
      <c r="B5" s="6" t="str">
        <f aca="true">TEXT(TODAY(),"MMMM YYYY")</f>
        <v>August 2026</v>
      </c>
      <c r="C5" s="5" t="s">
        <v>36</v>
      </c>
      <c r="D5" s="7" t="n">
        <f aca="true">EOMONTH(TODAY(),0)-TODAY()+1</f>
        <v>25</v>
      </c>
      <c r="E5" s="5" t="s">
        <v>37</v>
      </c>
      <c r="F5" s="19" t="n">
        <f aca="true">DAY(TODAY())</f>
        <v>7</v>
      </c>
      <c r="G5" s="3"/>
      <c r="H5" s="20" t="s">
        <v>38</v>
      </c>
      <c r="I5" s="20" t="s">
        <v>39</v>
      </c>
      <c r="J5" s="3"/>
      <c r="K5" s="3"/>
      <c r="L5" s="3"/>
    </row>
    <row r="6" customFormat="false" ht="17.25" hidden="false" customHeight="true" outlineLevel="0" collapsed="false">
      <c r="A6" s="5" t="s">
        <v>40</v>
      </c>
      <c r="B6" s="13" t="n">
        <f aca="false">'Monthly Budget'!B6</f>
        <v>31000</v>
      </c>
      <c r="C6" s="8" t="s">
        <v>4</v>
      </c>
      <c r="D6" s="9" t="n">
        <f aca="false">'Monthly Budget'!B9</f>
        <v>6259.67</v>
      </c>
      <c r="E6" s="5" t="s">
        <v>41</v>
      </c>
      <c r="F6" s="13" t="n">
        <f aca="false">'Monthly Budget'!B8</f>
        <v>24740.33</v>
      </c>
      <c r="G6" s="3"/>
      <c r="H6" s="3" t="s">
        <v>42</v>
      </c>
      <c r="I6" s="13" t="n">
        <f aca="false">MAX(0,F6)</f>
        <v>24740.33</v>
      </c>
      <c r="J6" s="3"/>
      <c r="K6" s="3"/>
      <c r="L6" s="3"/>
    </row>
    <row r="7" customFormat="false" ht="17.25" hidden="false" customHeight="true" outlineLevel="0" collapsed="false">
      <c r="A7" s="8" t="s">
        <v>43</v>
      </c>
      <c r="B7" s="10" t="n">
        <f aca="false">IF(D5&lt;=0,0,MAX(0,D6)/D5)</f>
        <v>250.3868</v>
      </c>
      <c r="C7" s="5" t="s">
        <v>6</v>
      </c>
      <c r="D7" s="11" t="n">
        <f aca="false">'Monthly Budget'!B16</f>
        <v>0.798075161290323</v>
      </c>
      <c r="E7" s="5" t="s">
        <v>7</v>
      </c>
      <c r="F7" s="11" t="n">
        <f aca="true">DAY(TODAY())/DAY(EOMONTH(TODAY(),0))</f>
        <v>0.225806451612903</v>
      </c>
      <c r="G7" s="3"/>
      <c r="H7" s="3" t="s">
        <v>44</v>
      </c>
      <c r="I7" s="13" t="n">
        <f aca="false">MAX(0,D6)</f>
        <v>6259.67</v>
      </c>
      <c r="J7" s="3"/>
      <c r="K7" s="3"/>
      <c r="L7" s="3"/>
    </row>
    <row r="8" customFormat="false" ht="21.75" hidden="false" customHeight="true" outlineLevel="0" collapsed="false">
      <c r="A8" s="8" t="s">
        <v>8</v>
      </c>
      <c r="B8" s="12" t="str">
        <f aca="false">IF(D6&lt;0,"OVER BUDGET — stop discretionary spend",IF(D7&gt;F7+0.05,"Spending faster than the month — slow down",IF(D7&gt;F7,"Slightly ahead of pace — be careful","On track")))</f>
        <v>Spending faster than the month — slow down</v>
      </c>
      <c r="C8" s="12"/>
      <c r="D8" s="12"/>
      <c r="E8" s="12"/>
      <c r="F8" s="12"/>
      <c r="G8" s="3"/>
      <c r="H8" s="18" t="s">
        <v>45</v>
      </c>
      <c r="I8" s="18"/>
      <c r="J8" s="3"/>
      <c r="K8" s="3"/>
      <c r="L8" s="3"/>
    </row>
    <row r="9" customFormat="false" ht="15" hidden="false" customHeight="true" outlineLevel="0" collapsed="false">
      <c r="A9" s="18" t="s">
        <v>46</v>
      </c>
      <c r="B9" s="18"/>
      <c r="C9" s="18"/>
      <c r="D9" s="18"/>
      <c r="E9" s="18"/>
      <c r="F9" s="18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4" t="s">
        <v>47</v>
      </c>
      <c r="I10" s="4"/>
      <c r="J10" s="4"/>
      <c r="K10" s="3"/>
      <c r="L10" s="3"/>
    </row>
    <row r="11" customFormat="false" ht="15.75" hidden="false" customHeight="true" outlineLevel="0" collapsed="false">
      <c r="A11" s="4" t="s">
        <v>48</v>
      </c>
      <c r="B11" s="4"/>
      <c r="C11" s="3"/>
      <c r="D11" s="4" t="s">
        <v>9</v>
      </c>
      <c r="E11" s="4"/>
      <c r="F11" s="4"/>
      <c r="G11" s="3"/>
      <c r="H11" s="20" t="s">
        <v>2</v>
      </c>
      <c r="I11" s="20" t="s">
        <v>49</v>
      </c>
      <c r="J11" s="20" t="s">
        <v>50</v>
      </c>
      <c r="K11" s="3"/>
      <c r="L11" s="3"/>
    </row>
    <row r="12" customFormat="false" ht="15" hidden="false" customHeight="true" outlineLevel="0" collapsed="false">
      <c r="A12" s="5" t="s">
        <v>49</v>
      </c>
      <c r="B12" s="13" t="n">
        <f aca="false">'Monthly Budget'!B7</f>
        <v>83167</v>
      </c>
      <c r="C12" s="3"/>
      <c r="D12" s="21" t="s">
        <v>10</v>
      </c>
      <c r="E12" s="3"/>
      <c r="F12" s="3"/>
      <c r="G12" s="3"/>
      <c r="H12" s="5" t="str">
        <f aca="true">TEXT(EDATE(DATE(YEAR(TODAY()),MONTH(TODAY()),1),-5),"mmm yy")</f>
        <v>Mar 26</v>
      </c>
      <c r="I12" s="13" t="n">
        <f aca="true">SUMIFS(Ledger!$G:$G,Ledger!$D:$D,TEXT(EDATE(DATE(YEAR(TODAY()),MONTH(TODAY()),1),-5),"MMMM"),Ledger!$E:$E,YEAR(EDATE(DATE(YEAR(TODAY()),MONTH(TODAY()),1),-5)),Ledger!$F:$F,"Income")</f>
        <v>0</v>
      </c>
      <c r="J12" s="13" t="n">
        <f aca="true">SUMIFS(Ledger!$G:$G,Ledger!$D:$D,TEXT(EDATE(DATE(YEAR(TODAY()),MONTH(TODAY()),1),-5),"MMMM"),Ledger!$E:$E,YEAR(EDATE(DATE(YEAR(TODAY()),MONTH(TODAY()),1),-5)),Ledger!$F:$F,"Expense",Ledger!$K:$K,TRUE())-SUMIFS(Ledger!$G:$G,Ledger!$D:$D,TEXT(EDATE(DATE(YEAR(TODAY()),MONTH(TODAY()),1),-5),"MMMM"),Ledger!$E:$E,YEAR(EDATE(DATE(YEAR(TODAY()),MONTH(TODAY()),1),-5)),Ledger!$F:$F,"Refund",Ledger!$K:$K,TRUE())</f>
        <v>0</v>
      </c>
      <c r="K12" s="3"/>
      <c r="L12" s="3"/>
    </row>
    <row r="13" customFormat="false" ht="15" hidden="false" customHeight="true" outlineLevel="0" collapsed="false">
      <c r="A13" s="5" t="s">
        <v>51</v>
      </c>
      <c r="B13" s="13" t="n">
        <f aca="false">'Monthly Budget'!B8</f>
        <v>24740.33</v>
      </c>
      <c r="C13" s="3"/>
      <c r="D13" s="5" t="s">
        <v>52</v>
      </c>
      <c r="E13" s="13" t="n">
        <f aca="false">Configuration!C15+SUMIF(Ledger!$H:$H,"HDFC Credit Card",Ledger!$G:$G)-SUMIF(Ledger!$I:$I,"HDFC Credit Card",Ledger!$G:$G)</f>
        <v>32765.33</v>
      </c>
      <c r="F13" s="3"/>
      <c r="G13" s="3"/>
      <c r="H13" s="5" t="str">
        <f aca="true">TEXT(EDATE(DATE(YEAR(TODAY()),MONTH(TODAY()),1),-4),"mmm yy")</f>
        <v>Apr 26</v>
      </c>
      <c r="I13" s="13" t="n">
        <f aca="true">SUMIFS(Ledger!$G:$G,Ledger!$D:$D,TEXT(EDATE(DATE(YEAR(TODAY()),MONTH(TODAY()),1),-4),"MMMM"),Ledger!$E:$E,YEAR(EDATE(DATE(YEAR(TODAY()),MONTH(TODAY()),1),-4)),Ledger!$F:$F,"Income")</f>
        <v>0</v>
      </c>
      <c r="J13" s="13" t="n">
        <f aca="true">SUMIFS(Ledger!$G:$G,Ledger!$D:$D,TEXT(EDATE(DATE(YEAR(TODAY()),MONTH(TODAY()),1),-4),"MMMM"),Ledger!$E:$E,YEAR(EDATE(DATE(YEAR(TODAY()),MONTH(TODAY()),1),-4)),Ledger!$F:$F,"Expense",Ledger!$K:$K,TRUE())-SUMIFS(Ledger!$G:$G,Ledger!$D:$D,TEXT(EDATE(DATE(YEAR(TODAY()),MONTH(TODAY()),1),-4),"MMMM"),Ledger!$E:$E,YEAR(EDATE(DATE(YEAR(TODAY()),MONTH(TODAY()),1),-4)),Ledger!$F:$F,"Refund",Ledger!$K:$K,TRUE())</f>
        <v>0</v>
      </c>
      <c r="K13" s="3"/>
      <c r="L13" s="3"/>
    </row>
    <row r="14" customFormat="false" ht="15" hidden="false" customHeight="true" outlineLevel="0" collapsed="false">
      <c r="A14" s="5" t="s">
        <v>53</v>
      </c>
      <c r="B14" s="13" t="n">
        <f aca="false">'Monthly Budget'!B10</f>
        <v>50671</v>
      </c>
      <c r="C14" s="3"/>
      <c r="D14" s="5" t="s">
        <v>54</v>
      </c>
      <c r="E14" s="13" t="n">
        <f aca="false">Configuration!D15</f>
        <v>396000</v>
      </c>
      <c r="F14" s="13" t="n">
        <f aca="false">E14-E13</f>
        <v>363234.67</v>
      </c>
      <c r="G14" s="3"/>
      <c r="H14" s="5" t="str">
        <f aca="true">TEXT(EDATE(DATE(YEAR(TODAY()),MONTH(TODAY()),1),-3),"mmm yy")</f>
        <v>May 26</v>
      </c>
      <c r="I14" s="13" t="n">
        <f aca="true">SUMIFS(Ledger!$G:$G,Ledger!$D:$D,TEXT(EDATE(DATE(YEAR(TODAY()),MONTH(TODAY()),1),-3),"MMMM"),Ledger!$E:$E,YEAR(EDATE(DATE(YEAR(TODAY()),MONTH(TODAY()),1),-3)),Ledger!$F:$F,"Income")</f>
        <v>0</v>
      </c>
      <c r="J14" s="13" t="n">
        <f aca="true">SUMIFS(Ledger!$G:$G,Ledger!$D:$D,TEXT(EDATE(DATE(YEAR(TODAY()),MONTH(TODAY()),1),-3),"MMMM"),Ledger!$E:$E,YEAR(EDATE(DATE(YEAR(TODAY()),MONTH(TODAY()),1),-3)),Ledger!$F:$F,"Expense",Ledger!$K:$K,TRUE())-SUMIFS(Ledger!$G:$G,Ledger!$D:$D,TEXT(EDATE(DATE(YEAR(TODAY()),MONTH(TODAY()),1),-3),"MMMM"),Ledger!$E:$E,YEAR(EDATE(DATE(YEAR(TODAY()),MONTH(TODAY()),1),-3)),Ledger!$F:$F,"Refund",Ledger!$K:$K,TRUE())</f>
        <v>0</v>
      </c>
      <c r="K14" s="3"/>
      <c r="L14" s="3"/>
    </row>
    <row r="15" customFormat="false" ht="15" hidden="false" customHeight="true" outlineLevel="0" collapsed="false">
      <c r="A15" s="5" t="s">
        <v>55</v>
      </c>
      <c r="B15" s="13" t="n">
        <f aca="false">'Monthly Budget'!B15</f>
        <v>7755.67</v>
      </c>
      <c r="C15" s="3"/>
      <c r="D15" s="5" t="s">
        <v>56</v>
      </c>
      <c r="E15" s="11" t="n">
        <f aca="false">IF(E14=0,0,E13/E14)</f>
        <v>0.0827407323232323</v>
      </c>
      <c r="F15" s="3"/>
      <c r="G15" s="3"/>
      <c r="H15" s="5" t="str">
        <f aca="true">TEXT(EDATE(DATE(YEAR(TODAY()),MONTH(TODAY()),1),-2),"mmm yy")</f>
        <v>Jun 26</v>
      </c>
      <c r="I15" s="13" t="n">
        <f aca="true">SUMIFS(Ledger!$G:$G,Ledger!$D:$D,TEXT(EDATE(DATE(YEAR(TODAY()),MONTH(TODAY()),1),-2),"MMMM"),Ledger!$E:$E,YEAR(EDATE(DATE(YEAR(TODAY()),MONTH(TODAY()),1),-2)),Ledger!$F:$F,"Income")</f>
        <v>0</v>
      </c>
      <c r="J15" s="13" t="n">
        <f aca="true">SUMIFS(Ledger!$G:$G,Ledger!$D:$D,TEXT(EDATE(DATE(YEAR(TODAY()),MONTH(TODAY()),1),-2),"MMMM"),Ledger!$E:$E,YEAR(EDATE(DATE(YEAR(TODAY()),MONTH(TODAY()),1),-2)),Ledger!$F:$F,"Expense",Ledger!$K:$K,TRUE())-SUMIFS(Ledger!$G:$G,Ledger!$D:$D,TEXT(EDATE(DATE(YEAR(TODAY()),MONTH(TODAY()),1),-2),"MMMM"),Ledger!$E:$E,YEAR(EDATE(DATE(YEAR(TODAY()),MONTH(TODAY()),1),-2)),Ledger!$F:$F,"Refund",Ledger!$K:$K,TRUE())</f>
        <v>0</v>
      </c>
      <c r="K15" s="3"/>
      <c r="L15" s="3"/>
    </row>
    <row r="16" customFormat="false" ht="15" hidden="false" customHeight="true" outlineLevel="0" collapsed="false">
      <c r="A16" s="5" t="s">
        <v>57</v>
      </c>
      <c r="B16" s="13" t="n">
        <f aca="false">'Monthly Budget'!B11</f>
        <v>0</v>
      </c>
      <c r="C16" s="3"/>
      <c r="D16" s="21" t="s">
        <v>11</v>
      </c>
      <c r="E16" s="3"/>
      <c r="F16" s="3"/>
      <c r="G16" s="3"/>
      <c r="H16" s="5" t="str">
        <f aca="true">TEXT(EDATE(DATE(YEAR(TODAY()),MONTH(TODAY()),1),-1),"mmm yy")</f>
        <v>Jul 26</v>
      </c>
      <c r="I16" s="13" t="n">
        <f aca="true">SUMIFS(Ledger!$G:$G,Ledger!$D:$D,TEXT(EDATE(DATE(YEAR(TODAY()),MONTH(TODAY()),1),-1),"MMMM"),Ledger!$E:$E,YEAR(EDATE(DATE(YEAR(TODAY()),MONTH(TODAY()),1),-1)),Ledger!$F:$F,"Income")</f>
        <v>0</v>
      </c>
      <c r="J16" s="13" t="n">
        <f aca="true">SUMIFS(Ledger!$G:$G,Ledger!$D:$D,TEXT(EDATE(DATE(YEAR(TODAY()),MONTH(TODAY()),1),-1),"MMMM"),Ledger!$E:$E,YEAR(EDATE(DATE(YEAR(TODAY()),MONTH(TODAY()),1),-1)),Ledger!$F:$F,"Expense",Ledger!$K:$K,TRUE())-SUMIFS(Ledger!$G:$G,Ledger!$D:$D,TEXT(EDATE(DATE(YEAR(TODAY()),MONTH(TODAY()),1),-1),"MMMM"),Ledger!$E:$E,YEAR(EDATE(DATE(YEAR(TODAY()),MONTH(TODAY()),1),-1)),Ledger!$F:$F,"Refund",Ledger!$K:$K,TRUE())</f>
        <v>3795.04</v>
      </c>
      <c r="K16" s="3"/>
      <c r="L16" s="3"/>
    </row>
    <row r="17" customFormat="false" ht="15" hidden="false" customHeight="true" outlineLevel="0" collapsed="false">
      <c r="A17" s="5" t="s">
        <v>58</v>
      </c>
      <c r="B17" s="13" t="n">
        <f aca="false">'Monthly Budget'!B12+'Monthly Budget'!B13</f>
        <v>10800</v>
      </c>
      <c r="C17" s="3"/>
      <c r="D17" s="5" t="s">
        <v>52</v>
      </c>
      <c r="E17" s="13" t="n">
        <f aca="false">Configuration!C16+SUMIF(Ledger!$H:$H,"ICICI Credit Card",Ledger!$G:$G)-SUMIF(Ledger!$I:$I,"ICICI Credit Card",Ledger!$G:$G)</f>
        <v>3795.04</v>
      </c>
      <c r="F17" s="3"/>
      <c r="G17" s="3"/>
      <c r="H17" s="5" t="str">
        <f aca="true">TEXT(EDATE(DATE(YEAR(TODAY()),MONTH(TODAY()),1),0),"mmm yy")</f>
        <v>Aug 26</v>
      </c>
      <c r="I17" s="13" t="n">
        <f aca="true">SUMIFS(Ledger!$G:$G,Ledger!$D:$D,TEXT(EDATE(DATE(YEAR(TODAY()),MONTH(TODAY()),1),0),"MMMM"),Ledger!$E:$E,YEAR(EDATE(DATE(YEAR(TODAY()),MONTH(TODAY()),1),0)),Ledger!$F:$F,"Income")</f>
        <v>83167</v>
      </c>
      <c r="J17" s="13" t="n">
        <f aca="true">SUMIFS(Ledger!$G:$G,Ledger!$D:$D,TEXT(EDATE(DATE(YEAR(TODAY()),MONTH(TODAY()),1),0),"MMMM"),Ledger!$E:$E,YEAR(EDATE(DATE(YEAR(TODAY()),MONTH(TODAY()),1),0)),Ledger!$F:$F,"Expense",Ledger!$K:$K,TRUE())-SUMIFS(Ledger!$G:$G,Ledger!$D:$D,TEXT(EDATE(DATE(YEAR(TODAY()),MONTH(TODAY()),1),0),"MMMM"),Ledger!$E:$E,YEAR(EDATE(DATE(YEAR(TODAY()),MONTH(TODAY()),1),0)),Ledger!$F:$F,"Refund",Ledger!$K:$K,TRUE())</f>
        <v>24740.33</v>
      </c>
      <c r="K17" s="3"/>
      <c r="L17" s="3"/>
    </row>
    <row r="18" customFormat="false" ht="15" hidden="false" customHeight="true" outlineLevel="0" collapsed="false">
      <c r="A18" s="3"/>
      <c r="B18" s="3"/>
      <c r="C18" s="3"/>
      <c r="D18" s="5" t="s">
        <v>54</v>
      </c>
      <c r="E18" s="13" t="n">
        <f aca="false">Configuration!D16</f>
        <v>100000</v>
      </c>
      <c r="F18" s="13" t="n">
        <f aca="false">E18-E17</f>
        <v>96204.96</v>
      </c>
      <c r="G18" s="3"/>
      <c r="H18" s="3"/>
      <c r="I18" s="3"/>
      <c r="J18" s="3"/>
      <c r="K18" s="3"/>
      <c r="L18" s="3"/>
    </row>
    <row r="19" customFormat="false" ht="15" hidden="false" customHeight="true" outlineLevel="0" collapsed="false">
      <c r="A19" s="4" t="s">
        <v>13</v>
      </c>
      <c r="B19" s="4"/>
      <c r="C19" s="3"/>
      <c r="D19" s="5" t="s">
        <v>56</v>
      </c>
      <c r="E19" s="11" t="n">
        <f aca="false">IF(E18=0,0,E17/E18)</f>
        <v>0.0379504</v>
      </c>
      <c r="F19" s="3"/>
      <c r="G19" s="3"/>
      <c r="H19" s="4" t="s">
        <v>59</v>
      </c>
      <c r="I19" s="4"/>
      <c r="J19" s="3"/>
      <c r="K19" s="3"/>
      <c r="L19" s="3"/>
    </row>
    <row r="20" customFormat="false" ht="15.75" hidden="false" customHeight="true" outlineLevel="0" collapsed="false">
      <c r="A20" s="5" t="s">
        <v>14</v>
      </c>
      <c r="B20" s="13" t="n">
        <f aca="false">Reconciliation!C5+Reconciliation!C6+Reconciliation!C7+Reconciliation!C8</f>
        <v>47791.56</v>
      </c>
      <c r="C20" s="3"/>
      <c r="D20" s="8" t="s">
        <v>12</v>
      </c>
      <c r="E20" s="15" t="n">
        <f aca="false">E13+E17</f>
        <v>36560.37</v>
      </c>
      <c r="F20" s="3"/>
      <c r="G20" s="3"/>
      <c r="H20" s="20" t="s">
        <v>60</v>
      </c>
      <c r="I20" s="20" t="s">
        <v>42</v>
      </c>
      <c r="J20" s="3"/>
      <c r="K20" s="3"/>
      <c r="L20" s="3"/>
    </row>
    <row r="21" customFormat="false" ht="15" hidden="false" customHeight="true" outlineLevel="0" collapsed="false">
      <c r="A21" s="5" t="s">
        <v>16</v>
      </c>
      <c r="B21" s="13" t="n">
        <f aca="false">MAX(0,D6)</f>
        <v>6259.67</v>
      </c>
      <c r="C21" s="3"/>
      <c r="D21" s="3"/>
      <c r="E21" s="3"/>
      <c r="F21" s="3"/>
      <c r="G21" s="3"/>
      <c r="H21" s="5" t="s">
        <v>61</v>
      </c>
      <c r="I21" s="13" t="n">
        <f aca="true">SUMIFS(Ledger!$G:$G,Ledger!$D:$D,TEXT(TODAY(),"MMMM"),Ledger!$E:$E,YEAR(TODAY()),Ledger!$F:$F,"Expense",Ledger!$J:$J,H21)-SUMIFS(Ledger!$G:$G,Ledger!$D:$D,TEXT(TODAY(),"MMMM"),Ledger!$E:$E,YEAR(TODAY()),Ledger!$F:$F,"Refund",Ledger!$J:$J,H21)</f>
        <v>1069</v>
      </c>
      <c r="J21" s="3"/>
      <c r="K21" s="3"/>
      <c r="L21" s="3"/>
    </row>
    <row r="22" customFormat="false" ht="17.25" hidden="false" customHeight="true" outlineLevel="0" collapsed="false">
      <c r="A22" s="8" t="s">
        <v>18</v>
      </c>
      <c r="B22" s="9" t="n">
        <f aca="false">B20-B21</f>
        <v>41531.89</v>
      </c>
      <c r="C22" s="3"/>
      <c r="D22" s="4" t="s">
        <v>20</v>
      </c>
      <c r="E22" s="4"/>
      <c r="F22" s="4"/>
      <c r="G22" s="3"/>
      <c r="H22" s="5" t="s">
        <v>62</v>
      </c>
      <c r="I22" s="13" t="n">
        <f aca="true">SUMIFS(Ledger!$G:$G,Ledger!$D:$D,TEXT(TODAY(),"MMMM"),Ledger!$E:$E,YEAR(TODAY()),Ledger!$F:$F,"Expense",Ledger!$J:$J,H22)-SUMIFS(Ledger!$G:$G,Ledger!$D:$D,TEXT(TODAY(),"MMMM"),Ledger!$E:$E,YEAR(TODAY()),Ledger!$F:$F,"Refund",Ledger!$J:$J,H22)</f>
        <v>280</v>
      </c>
      <c r="J22" s="3"/>
      <c r="K22" s="3"/>
      <c r="L22" s="3"/>
    </row>
    <row r="23" customFormat="false" ht="48" hidden="false" customHeight="true" outlineLevel="0" collapsed="false">
      <c r="A23" s="18" t="s">
        <v>63</v>
      </c>
      <c r="B23" s="18"/>
      <c r="C23" s="3"/>
      <c r="D23" s="5" t="s">
        <v>21</v>
      </c>
      <c r="E23" s="13" t="n">
        <f aca="false">B22</f>
        <v>41531.89</v>
      </c>
      <c r="F23" s="3"/>
      <c r="G23" s="3"/>
      <c r="H23" s="5" t="s">
        <v>64</v>
      </c>
      <c r="I23" s="13" t="n">
        <f aca="true">SUMIFS(Ledger!$G:$G,Ledger!$D:$D,TEXT(TODAY(),"MMMM"),Ledger!$E:$E,YEAR(TODAY()),Ledger!$F:$F,"Expense",Ledger!$J:$J,H23)-SUMIFS(Ledger!$G:$G,Ledger!$D:$D,TEXT(TODAY(),"MMMM"),Ledger!$E:$E,YEAR(TODAY()),Ledger!$F:$F,"Refund",Ledger!$J:$J,H23)</f>
        <v>1028.33</v>
      </c>
      <c r="J23" s="3"/>
      <c r="K23" s="3"/>
      <c r="L23" s="3"/>
    </row>
    <row r="24" customFormat="false" ht="15" hidden="false" customHeight="true" outlineLevel="0" collapsed="false">
      <c r="A24" s="18"/>
      <c r="B24" s="18"/>
      <c r="C24" s="3"/>
      <c r="D24" s="5" t="s">
        <v>23</v>
      </c>
      <c r="E24" s="13" t="n">
        <f aca="false">E20</f>
        <v>36560.37</v>
      </c>
      <c r="F24" s="3"/>
      <c r="G24" s="3"/>
      <c r="H24" s="5" t="s">
        <v>65</v>
      </c>
      <c r="I24" s="13" t="n">
        <f aca="true">SUMIFS(Ledger!$G:$G,Ledger!$D:$D,TEXT(TODAY(),"MMMM"),Ledger!$E:$E,YEAR(TODAY()),Ledger!$F:$F,"Expense",Ledger!$J:$J,H24)-SUMIFS(Ledger!$G:$G,Ledger!$D:$D,TEXT(TODAY(),"MMMM"),Ledger!$E:$E,YEAR(TODAY()),Ledger!$F:$F,"Refund",Ledger!$J:$J,H24)</f>
        <v>0</v>
      </c>
      <c r="J24" s="3"/>
      <c r="K24" s="3"/>
      <c r="L24" s="3"/>
    </row>
    <row r="25" customFormat="false" ht="15" hidden="false" customHeight="true" outlineLevel="0" collapsed="false">
      <c r="A25" s="18"/>
      <c r="B25" s="18"/>
      <c r="C25" s="3"/>
      <c r="D25" s="5" t="s">
        <v>25</v>
      </c>
      <c r="E25" s="13" t="n">
        <f aca="false">Configuration!B7</f>
        <v>83000</v>
      </c>
      <c r="F25" s="3"/>
      <c r="G25" s="3"/>
      <c r="H25" s="5" t="s">
        <v>66</v>
      </c>
      <c r="I25" s="13" t="n">
        <f aca="true">SUMIFS(Ledger!$G:$G,Ledger!$D:$D,TEXT(TODAY(),"MMMM"),Ledger!$E:$E,YEAR(TODAY()),Ledger!$F:$F,"Expense",Ledger!$J:$J,H25)-SUMIFS(Ledger!$G:$G,Ledger!$D:$D,TEXT(TODAY(),"MMMM"),Ledger!$E:$E,YEAR(TODAY()),Ledger!$F:$F,"Refund",Ledger!$J:$J,H25)</f>
        <v>0</v>
      </c>
      <c r="J25" s="3"/>
      <c r="K25" s="3"/>
      <c r="L25" s="3"/>
    </row>
    <row r="26" customFormat="false" ht="15" hidden="false" customHeight="true" outlineLevel="0" collapsed="false">
      <c r="A26" s="18"/>
      <c r="B26" s="18"/>
      <c r="C26" s="3"/>
      <c r="D26" s="5" t="s">
        <v>27</v>
      </c>
      <c r="E26" s="13" t="n">
        <f aca="true">IFERROR(INDEX('Monthly Budget'!$B$20:$B$61,MATCH(EDATE(DATE(YEAR(TODAY()),MONTH(TODAY()),1),1),'Monthly Budget'!$A$20:$A$61,0)),Configuration!B6)</f>
        <v>31000</v>
      </c>
      <c r="F26" s="3"/>
      <c r="G26" s="3"/>
      <c r="H26" s="5" t="s">
        <v>67</v>
      </c>
      <c r="I26" s="13" t="n">
        <f aca="true">SUMIFS(Ledger!$G:$G,Ledger!$D:$D,TEXT(TODAY(),"MMMM"),Ledger!$E:$E,YEAR(TODAY()),Ledger!$F:$F,"Expense",Ledger!$J:$J,H26)-SUMIFS(Ledger!$G:$G,Ledger!$D:$D,TEXT(TODAY(),"MMMM"),Ledger!$E:$E,YEAR(TODAY()),Ledger!$F:$F,"Refund",Ledger!$J:$J,H26)</f>
        <v>0</v>
      </c>
      <c r="J26" s="3"/>
      <c r="K26" s="3"/>
      <c r="L26" s="3"/>
    </row>
    <row r="27" customFormat="false" ht="17.25" hidden="false" customHeight="true" outlineLevel="0" collapsed="false">
      <c r="A27" s="18"/>
      <c r="B27" s="18"/>
      <c r="C27" s="3"/>
      <c r="D27" s="8" t="s">
        <v>29</v>
      </c>
      <c r="E27" s="10" t="n">
        <f aca="false">E23-E24+E25-E26</f>
        <v>56971.52</v>
      </c>
      <c r="F27" s="3"/>
      <c r="G27" s="3"/>
      <c r="H27" s="5" t="s">
        <v>68</v>
      </c>
      <c r="I27" s="13" t="n">
        <f aca="true">SUMIFS(Ledger!$G:$G,Ledger!$D:$D,TEXT(TODAY(),"MMMM"),Ledger!$E:$E,YEAR(TODAY()),Ledger!$F:$F,"Expense",Ledger!$J:$J,H27)-SUMIFS(Ledger!$G:$G,Ledger!$D:$D,TEXT(TODAY(),"MMMM"),Ledger!$E:$E,YEAR(TODAY()),Ledger!$F:$F,"Refund",Ledger!$J:$J,H27)</f>
        <v>0</v>
      </c>
      <c r="J27" s="3"/>
      <c r="K27" s="3"/>
      <c r="L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5" t="s">
        <v>69</v>
      </c>
      <c r="I28" s="13" t="n">
        <f aca="true">SUMIFS(Ledger!$G:$G,Ledger!$D:$D,TEXT(TODAY(),"MMMM"),Ledger!$E:$E,YEAR(TODAY()),Ledger!$F:$F,"Expense",Ledger!$J:$J,H28)-SUMIFS(Ledger!$G:$G,Ledger!$D:$D,TEXT(TODAY(),"MMMM"),Ledger!$E:$E,YEAR(TODAY()),Ledger!$F:$F,"Refund",Ledger!$J:$J,H28)</f>
        <v>0</v>
      </c>
      <c r="J28" s="3"/>
      <c r="K28" s="3"/>
      <c r="L28" s="3"/>
    </row>
    <row r="29" customFormat="false" ht="15" hidden="false" customHeight="true" outlineLevel="0" collapsed="false">
      <c r="A29" s="4" t="s">
        <v>70</v>
      </c>
      <c r="B29" s="4"/>
      <c r="C29" s="3"/>
      <c r="D29" s="4" t="s">
        <v>71</v>
      </c>
      <c r="E29" s="4"/>
      <c r="F29" s="4"/>
      <c r="G29" s="3"/>
      <c r="H29" s="5" t="s">
        <v>72</v>
      </c>
      <c r="I29" s="13" t="n">
        <f aca="true">SUMIFS(Ledger!$G:$G,Ledger!$D:$D,TEXT(TODAY(),"MMMM"),Ledger!$E:$E,YEAR(TODAY()),Ledger!$F:$F,"Expense",Ledger!$J:$J,H29)-SUMIFS(Ledger!$G:$G,Ledger!$D:$D,TEXT(TODAY(),"MMMM"),Ledger!$E:$E,YEAR(TODAY()),Ledger!$F:$F,"Refund",Ledger!$J:$J,H29)</f>
        <v>0</v>
      </c>
      <c r="J29" s="3"/>
      <c r="K29" s="3"/>
      <c r="L29" s="3"/>
    </row>
    <row r="30" customFormat="false" ht="15.75" hidden="false" customHeight="true" outlineLevel="0" collapsed="false">
      <c r="A30" s="20" t="s">
        <v>73</v>
      </c>
      <c r="B30" s="20" t="s">
        <v>74</v>
      </c>
      <c r="C30" s="3"/>
      <c r="D30" s="5" t="s">
        <v>75</v>
      </c>
      <c r="E30" s="13" t="n">
        <f aca="false">Reconciliation!C5+Reconciliation!C6+Reconciliation!C7+Reconciliation!C8</f>
        <v>47791.56</v>
      </c>
      <c r="F30" s="3"/>
      <c r="G30" s="3"/>
      <c r="H30" s="5" t="s">
        <v>76</v>
      </c>
      <c r="I30" s="13" t="n">
        <f aca="true">SUMIFS(Ledger!$G:$G,Ledger!$D:$D,TEXT(TODAY(),"MMMM"),Ledger!$E:$E,YEAR(TODAY()),Ledger!$F:$F,"Expense",Ledger!$J:$J,H30)-SUMIFS(Ledger!$G:$G,Ledger!$D:$D,TEXT(TODAY(),"MMMM"),Ledger!$E:$E,YEAR(TODAY()),Ledger!$F:$F,"Refund",Ledger!$J:$J,H30)</f>
        <v>0</v>
      </c>
      <c r="J30" s="3"/>
      <c r="K30" s="3"/>
      <c r="L30" s="3"/>
    </row>
    <row r="31" customFormat="false" ht="15" hidden="false" customHeight="true" outlineLevel="0" collapsed="false">
      <c r="A31" s="5" t="str">
        <f aca="false">Reconciliation!A5</f>
        <v>HDFC Savings</v>
      </c>
      <c r="B31" s="13" t="n">
        <f aca="false">Reconciliation!C5</f>
        <v>47649.45</v>
      </c>
      <c r="C31" s="3"/>
      <c r="D31" s="5" t="s">
        <v>77</v>
      </c>
      <c r="E31" s="13" t="n">
        <f aca="false">Reconciliation!C11</f>
        <v>0</v>
      </c>
      <c r="F31" s="3"/>
      <c r="G31" s="3"/>
      <c r="H31" s="5" t="s">
        <v>78</v>
      </c>
      <c r="I31" s="13" t="n">
        <f aca="true">SUMIFS(Ledger!$G:$G,Ledger!$D:$D,TEXT(TODAY(),"MMMM"),Ledger!$E:$E,YEAR(TODAY()),Ledger!$F:$F,"Expense",Ledger!$J:$J,H31)-SUMIFS(Ledger!$G:$G,Ledger!$D:$D,TEXT(TODAY(),"MMMM"),Ledger!$E:$E,YEAR(TODAY()),Ledger!$F:$F,"Refund",Ledger!$J:$J,H31)</f>
        <v>270</v>
      </c>
      <c r="J31" s="3"/>
      <c r="K31" s="3"/>
      <c r="L31" s="3"/>
    </row>
    <row r="32" customFormat="false" ht="15" hidden="false" customHeight="true" outlineLevel="0" collapsed="false">
      <c r="A32" s="5" t="str">
        <f aca="false">Reconciliation!A6</f>
        <v>ICICI Savings</v>
      </c>
      <c r="B32" s="13" t="n">
        <f aca="false">Reconciliation!C6</f>
        <v>142.11</v>
      </c>
      <c r="C32" s="3"/>
      <c r="D32" s="5" t="s">
        <v>79</v>
      </c>
      <c r="E32" s="13" t="n">
        <f aca="false">Reconciliation!C12</f>
        <v>0</v>
      </c>
      <c r="F32" s="3"/>
      <c r="G32" s="3"/>
      <c r="H32" s="5" t="s">
        <v>80</v>
      </c>
      <c r="I32" s="13" t="n">
        <f aca="true">SUMIFS(Ledger!$G:$G,Ledger!$D:$D,TEXT(TODAY(),"MMMM"),Ledger!$E:$E,YEAR(TODAY()),Ledger!$F:$F,"Expense",Ledger!$J:$J,H32)-SUMIFS(Ledger!$G:$G,Ledger!$D:$D,TEXT(TODAY(),"MMMM"),Ledger!$E:$E,YEAR(TODAY()),Ledger!$F:$F,"Refund",Ledger!$J:$J,H32)</f>
        <v>0</v>
      </c>
      <c r="J32" s="3"/>
      <c r="K32" s="3"/>
      <c r="L32" s="3"/>
    </row>
    <row r="33" customFormat="false" ht="15" hidden="false" customHeight="true" outlineLevel="0" collapsed="false">
      <c r="A33" s="5" t="str">
        <f aca="false">Reconciliation!A7</f>
        <v>Cash</v>
      </c>
      <c r="B33" s="13" t="n">
        <f aca="false">Reconciliation!C7</f>
        <v>0</v>
      </c>
      <c r="C33" s="3"/>
      <c r="D33" s="5" t="s">
        <v>81</v>
      </c>
      <c r="E33" s="22" t="n">
        <f aca="false">E30+E31+E32</f>
        <v>47791.56</v>
      </c>
      <c r="F33" s="3"/>
      <c r="G33" s="3"/>
      <c r="H33" s="5" t="s">
        <v>82</v>
      </c>
      <c r="I33" s="13" t="n">
        <f aca="true">SUMIFS(Ledger!$G:$G,Ledger!$D:$D,TEXT(TODAY(),"MMMM"),Ledger!$E:$E,YEAR(TODAY()),Ledger!$F:$F,"Expense",Ledger!$J:$J,H33)-SUMIFS(Ledger!$G:$G,Ledger!$D:$D,TEXT(TODAY(),"MMMM"),Ledger!$E:$E,YEAR(TODAY()),Ledger!$F:$F,"Refund",Ledger!$J:$J,H33)</f>
        <v>899</v>
      </c>
      <c r="J33" s="3"/>
      <c r="K33" s="3"/>
      <c r="L33" s="3"/>
    </row>
    <row r="34" customFormat="false" ht="15" hidden="false" customHeight="true" outlineLevel="0" collapsed="false">
      <c r="A34" s="5" t="str">
        <f aca="false">Reconciliation!A8</f>
        <v>Wallet</v>
      </c>
      <c r="B34" s="13" t="n">
        <f aca="false">Reconciliation!C8</f>
        <v>0</v>
      </c>
      <c r="C34" s="3"/>
      <c r="D34" s="5" t="s">
        <v>83</v>
      </c>
      <c r="E34" s="13" t="n">
        <f aca="false">Reconciliation!C9+Reconciliation!C10</f>
        <v>36560.37</v>
      </c>
      <c r="F34" s="3"/>
      <c r="G34" s="3"/>
      <c r="H34" s="5" t="s">
        <v>84</v>
      </c>
      <c r="I34" s="13" t="n">
        <f aca="true">SUMIFS(Ledger!$G:$G,Ledger!$D:$D,TEXT(TODAY(),"MMMM"),Ledger!$E:$E,YEAR(TODAY()),Ledger!$F:$F,"Expense",Ledger!$J:$J,H34)-SUMIFS(Ledger!$G:$G,Ledger!$D:$D,TEXT(TODAY(),"MMMM"),Ledger!$E:$E,YEAR(TODAY()),Ledger!$F:$F,"Refund",Ledger!$J:$J,H34)</f>
        <v>5</v>
      </c>
      <c r="J34" s="3"/>
      <c r="K34" s="3"/>
      <c r="L34" s="3"/>
    </row>
    <row r="35" customFormat="false" ht="17.25" hidden="false" customHeight="true" outlineLevel="0" collapsed="false">
      <c r="A35" s="5" t="str">
        <f aca="false">Reconciliation!A9</f>
        <v>HDFC Credit Card</v>
      </c>
      <c r="B35" s="13" t="n">
        <f aca="false">Reconciliation!C9</f>
        <v>32765.33</v>
      </c>
      <c r="C35" s="3"/>
      <c r="D35" s="8" t="s">
        <v>71</v>
      </c>
      <c r="E35" s="23" t="n">
        <f aca="false">E33-E34</f>
        <v>11231.19</v>
      </c>
      <c r="F35" s="3"/>
      <c r="G35" s="3"/>
      <c r="H35" s="5" t="s">
        <v>85</v>
      </c>
      <c r="I35" s="13" t="n">
        <f aca="true">SUMIFS(Ledger!$G:$G,Ledger!$D:$D,TEXT(TODAY(),"MMMM"),Ledger!$E:$E,YEAR(TODAY()),Ledger!$F:$F,"Expense",Ledger!$J:$J,H35)-SUMIFS(Ledger!$G:$G,Ledger!$D:$D,TEXT(TODAY(),"MMMM"),Ledger!$E:$E,YEAR(TODAY()),Ledger!$F:$F,"Refund",Ledger!$J:$J,H35)</f>
        <v>135</v>
      </c>
      <c r="J35" s="3"/>
      <c r="K35" s="3"/>
      <c r="L35" s="3"/>
    </row>
    <row r="36" customFormat="false" ht="15" hidden="false" customHeight="true" outlineLevel="0" collapsed="false">
      <c r="A36" s="5" t="str">
        <f aca="false">Reconciliation!A10</f>
        <v>ICICI Credit Card</v>
      </c>
      <c r="B36" s="13" t="n">
        <f aca="false">Reconciliation!C10</f>
        <v>3795.04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5" t="str">
        <f aca="false">Reconciliation!A11</f>
        <v>FD</v>
      </c>
      <c r="B37" s="13" t="n">
        <f aca="false">Reconciliation!C11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5" t="str">
        <f aca="false">Reconciliation!A12</f>
        <v>Mutual Fund</v>
      </c>
      <c r="B38" s="13" t="n">
        <f aca="false">Reconciliation!C12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5" t="str">
        <f aca="false">Reconciliation!A13</f>
        <v>Employer</v>
      </c>
      <c r="B39" s="13" t="n">
        <f aca="false">Reconciliation!C13</f>
        <v>-83167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5" t="str">
        <f aca="false">Reconciliation!A14</f>
        <v>Expense</v>
      </c>
      <c r="B40" s="13" t="n">
        <f aca="false">Reconciliation!C14</f>
        <v>64206.37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5" t="str">
        <f aca="false">Reconciliation!A15</f>
        <v>External</v>
      </c>
      <c r="B41" s="13" t="n">
        <f aca="false">Reconciliation!C15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true" outlineLevel="0" collapsed="false">
      <c r="A43" s="14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15">
    <mergeCell ref="A2:F2"/>
    <mergeCell ref="A4:F4"/>
    <mergeCell ref="H4:I4"/>
    <mergeCell ref="B8:F8"/>
    <mergeCell ref="H8:I8"/>
    <mergeCell ref="A9:F9"/>
    <mergeCell ref="H10:J10"/>
    <mergeCell ref="A11:B11"/>
    <mergeCell ref="D11:F11"/>
    <mergeCell ref="A19:B19"/>
    <mergeCell ref="H19:I19"/>
    <mergeCell ref="D22:F22"/>
    <mergeCell ref="A23:B27"/>
    <mergeCell ref="A29:B29"/>
    <mergeCell ref="D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G55" activeCellId="0" sqref="G55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2"/>
    <col collapsed="false" customWidth="true" hidden="false" outlineLevel="0" max="5" min="5" style="1" width="8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9" min="8" style="1" width="18"/>
    <col collapsed="false" customWidth="true" hidden="false" outlineLevel="0" max="10" min="10" style="1" width="22"/>
    <col collapsed="false" customWidth="true" hidden="false" outlineLevel="0" max="11" min="11" style="24" width="16"/>
    <col collapsed="false" customWidth="true" hidden="false" outlineLevel="0" max="12" min="12" style="1" width="28"/>
    <col collapsed="false" customWidth="true" hidden="false" outlineLevel="0" max="13" min="13" style="1" width="7.53"/>
  </cols>
  <sheetData>
    <row r="1" customFormat="false" ht="30" hidden="false" customHeight="true" outlineLevel="0" collapsed="false">
      <c r="A1" s="20" t="s">
        <v>87</v>
      </c>
      <c r="B1" s="20" t="s">
        <v>88</v>
      </c>
      <c r="C1" s="20" t="s">
        <v>89</v>
      </c>
      <c r="D1" s="20" t="s">
        <v>2</v>
      </c>
      <c r="E1" s="20" t="s">
        <v>90</v>
      </c>
      <c r="F1" s="20" t="s">
        <v>91</v>
      </c>
      <c r="G1" s="20" t="s">
        <v>92</v>
      </c>
      <c r="H1" s="20" t="s">
        <v>93</v>
      </c>
      <c r="I1" s="20" t="s">
        <v>94</v>
      </c>
      <c r="J1" s="20" t="s">
        <v>60</v>
      </c>
      <c r="K1" s="20" t="s">
        <v>95</v>
      </c>
      <c r="L1" s="20" t="s">
        <v>96</v>
      </c>
      <c r="M1" s="25" t="s">
        <v>97</v>
      </c>
    </row>
    <row r="2" customFormat="false" ht="15" hidden="false" customHeight="true" outlineLevel="0" collapsed="false">
      <c r="A2" s="26" t="n">
        <v>46228</v>
      </c>
      <c r="B2" s="27"/>
      <c r="C2" s="28" t="str">
        <f aca="false">IF(A2="","",TEXT(A2,"dddd"))</f>
        <v>Saturday</v>
      </c>
      <c r="D2" s="28" t="str">
        <f aca="false">IF(A2="","",TEXT(A2,"MMMM"))</f>
        <v>July</v>
      </c>
      <c r="E2" s="28" t="n">
        <f aca="false">IF(A2="","",YEAR(A2))</f>
        <v>2026</v>
      </c>
      <c r="F2" s="29" t="s">
        <v>98</v>
      </c>
      <c r="G2" s="30" t="n">
        <v>2817</v>
      </c>
      <c r="H2" s="29" t="s">
        <v>11</v>
      </c>
      <c r="I2" s="29" t="s">
        <v>98</v>
      </c>
      <c r="J2" s="29" t="s">
        <v>76</v>
      </c>
      <c r="K2" s="31" t="b">
        <f aca="false">TRUE()</f>
        <v>1</v>
      </c>
      <c r="L2" s="29" t="s">
        <v>99</v>
      </c>
    </row>
    <row r="3" customFormat="false" ht="15" hidden="false" customHeight="true" outlineLevel="0" collapsed="false">
      <c r="A3" s="26" t="n">
        <v>46229</v>
      </c>
      <c r="B3" s="27"/>
      <c r="C3" s="28" t="str">
        <f aca="false">IF(A3="","",TEXT(A3,"dddd"))</f>
        <v>Sunday</v>
      </c>
      <c r="D3" s="28" t="str">
        <f aca="false">IF(A3="","",TEXT(A3,"MMMM"))</f>
        <v>July</v>
      </c>
      <c r="E3" s="28" t="n">
        <f aca="false">IF(A3="","",YEAR(A3))</f>
        <v>2026</v>
      </c>
      <c r="F3" s="29" t="s">
        <v>98</v>
      </c>
      <c r="G3" s="30" t="n">
        <v>123</v>
      </c>
      <c r="H3" s="29" t="s">
        <v>11</v>
      </c>
      <c r="I3" s="29" t="s">
        <v>98</v>
      </c>
      <c r="J3" s="29" t="s">
        <v>64</v>
      </c>
      <c r="K3" s="31" t="b">
        <f aca="false">TRUE()</f>
        <v>1</v>
      </c>
      <c r="L3" s="29" t="s">
        <v>100</v>
      </c>
    </row>
    <row r="4" customFormat="false" ht="15" hidden="false" customHeight="true" outlineLevel="0" collapsed="false">
      <c r="A4" s="26" t="n">
        <v>46230</v>
      </c>
      <c r="B4" s="27"/>
      <c r="C4" s="28" t="str">
        <f aca="false">IF(A4="","",TEXT(A4,"dddd"))</f>
        <v>Monday</v>
      </c>
      <c r="D4" s="28" t="str">
        <f aca="false">IF(A4="","",TEXT(A4,"MMMM"))</f>
        <v>July</v>
      </c>
      <c r="E4" s="28" t="n">
        <f aca="false">IF(A4="","",YEAR(A4))</f>
        <v>2026</v>
      </c>
      <c r="F4" s="29" t="s">
        <v>98</v>
      </c>
      <c r="G4" s="30" t="n">
        <v>142</v>
      </c>
      <c r="H4" s="29" t="s">
        <v>11</v>
      </c>
      <c r="I4" s="29" t="s">
        <v>98</v>
      </c>
      <c r="J4" s="29" t="s">
        <v>64</v>
      </c>
      <c r="K4" s="31" t="b">
        <f aca="false">TRUE()</f>
        <v>1</v>
      </c>
      <c r="L4" s="29" t="s">
        <v>100</v>
      </c>
    </row>
    <row r="5" customFormat="false" ht="15" hidden="false" customHeight="true" outlineLevel="0" collapsed="false">
      <c r="A5" s="26" t="n">
        <v>46232</v>
      </c>
      <c r="B5" s="27"/>
      <c r="C5" s="28" t="str">
        <f aca="false">IF(A5="","",TEXT(A5,"dddd"))</f>
        <v>Wednesday</v>
      </c>
      <c r="D5" s="28" t="str">
        <f aca="false">IF(A5="","",TEXT(A5,"MMMM"))</f>
        <v>July</v>
      </c>
      <c r="E5" s="28" t="n">
        <f aca="false">IF(A5="","",YEAR(A5))</f>
        <v>2026</v>
      </c>
      <c r="F5" s="29" t="s">
        <v>98</v>
      </c>
      <c r="G5" s="30" t="n">
        <v>140</v>
      </c>
      <c r="H5" s="29" t="s">
        <v>11</v>
      </c>
      <c r="I5" s="29" t="s">
        <v>98</v>
      </c>
      <c r="J5" s="29" t="s">
        <v>64</v>
      </c>
      <c r="K5" s="31" t="b">
        <f aca="false">TRUE()</f>
        <v>1</v>
      </c>
      <c r="L5" s="29" t="s">
        <v>100</v>
      </c>
    </row>
    <row r="6" customFormat="false" ht="15" hidden="false" customHeight="true" outlineLevel="0" collapsed="false">
      <c r="A6" s="26" t="n">
        <v>46232</v>
      </c>
      <c r="B6" s="27"/>
      <c r="C6" s="28" t="str">
        <f aca="false">IF(A6="","",TEXT(A6,"dddd"))</f>
        <v>Wednesday</v>
      </c>
      <c r="D6" s="28" t="str">
        <f aca="false">IF(A6="","",TEXT(A6,"MMMM"))</f>
        <v>July</v>
      </c>
      <c r="E6" s="28" t="n">
        <f aca="false">IF(A6="","",YEAR(A6))</f>
        <v>2026</v>
      </c>
      <c r="F6" s="29" t="s">
        <v>101</v>
      </c>
      <c r="G6" s="30" t="n">
        <v>140</v>
      </c>
      <c r="H6" s="29" t="s">
        <v>98</v>
      </c>
      <c r="I6" s="29" t="s">
        <v>11</v>
      </c>
      <c r="J6" s="29" t="s">
        <v>101</v>
      </c>
      <c r="K6" s="31" t="b">
        <f aca="false">TRUE()</f>
        <v>1</v>
      </c>
      <c r="L6" s="29" t="s">
        <v>102</v>
      </c>
    </row>
    <row r="7" customFormat="false" ht="15" hidden="false" customHeight="true" outlineLevel="0" collapsed="false">
      <c r="A7" s="26" t="n">
        <v>46232</v>
      </c>
      <c r="B7" s="27"/>
      <c r="C7" s="28" t="str">
        <f aca="false">IF(A7="","",TEXT(A7,"dddd"))</f>
        <v>Wednesday</v>
      </c>
      <c r="D7" s="28" t="str">
        <f aca="false">IF(A7="","",TEXT(A7,"MMMM"))</f>
        <v>July</v>
      </c>
      <c r="E7" s="28" t="n">
        <f aca="false">IF(A7="","",YEAR(A7))</f>
        <v>2026</v>
      </c>
      <c r="F7" s="29" t="s">
        <v>98</v>
      </c>
      <c r="G7" s="30" t="n">
        <v>216</v>
      </c>
      <c r="H7" s="29" t="s">
        <v>11</v>
      </c>
      <c r="I7" s="29" t="s">
        <v>98</v>
      </c>
      <c r="J7" s="29" t="s">
        <v>64</v>
      </c>
      <c r="K7" s="31" t="b">
        <f aca="false">TRUE()</f>
        <v>1</v>
      </c>
      <c r="L7" s="29" t="s">
        <v>100</v>
      </c>
    </row>
    <row r="8" customFormat="false" ht="15" hidden="false" customHeight="true" outlineLevel="0" collapsed="false">
      <c r="A8" s="26" t="n">
        <v>46233</v>
      </c>
      <c r="B8" s="27"/>
      <c r="C8" s="28" t="str">
        <f aca="false">IF(A8="","",TEXT(A8,"dddd"))</f>
        <v>Thursday</v>
      </c>
      <c r="D8" s="28" t="str">
        <f aca="false">IF(A8="","",TEXT(A8,"MMMM"))</f>
        <v>July</v>
      </c>
      <c r="E8" s="28" t="n">
        <f aca="false">IF(A8="","",YEAR(A8))</f>
        <v>2026</v>
      </c>
      <c r="F8" s="29" t="s">
        <v>98</v>
      </c>
      <c r="G8" s="30" t="n">
        <v>169</v>
      </c>
      <c r="H8" s="29" t="s">
        <v>11</v>
      </c>
      <c r="I8" s="29" t="s">
        <v>98</v>
      </c>
      <c r="J8" s="29" t="s">
        <v>64</v>
      </c>
      <c r="K8" s="31" t="b">
        <f aca="false">TRUE()</f>
        <v>1</v>
      </c>
      <c r="L8" s="29" t="s">
        <v>100</v>
      </c>
    </row>
    <row r="9" customFormat="false" ht="15" hidden="false" customHeight="true" outlineLevel="0" collapsed="false">
      <c r="A9" s="26" t="n">
        <v>46233</v>
      </c>
      <c r="B9" s="27"/>
      <c r="C9" s="28" t="str">
        <f aca="false">IF(A9="","",TEXT(A9,"dddd"))</f>
        <v>Thursday</v>
      </c>
      <c r="D9" s="28" t="str">
        <f aca="false">IF(A9="","",TEXT(A9,"MMMM"))</f>
        <v>July</v>
      </c>
      <c r="E9" s="28" t="n">
        <f aca="false">IF(A9="","",YEAR(A9))</f>
        <v>2026</v>
      </c>
      <c r="F9" s="29" t="s">
        <v>98</v>
      </c>
      <c r="G9" s="30" t="n">
        <v>328.04</v>
      </c>
      <c r="H9" s="29" t="s">
        <v>11</v>
      </c>
      <c r="I9" s="29" t="s">
        <v>98</v>
      </c>
      <c r="J9" s="29" t="s">
        <v>82</v>
      </c>
      <c r="K9" s="31" t="b">
        <f aca="false">TRUE()</f>
        <v>1</v>
      </c>
      <c r="L9" s="29" t="s">
        <v>103</v>
      </c>
    </row>
    <row r="10" customFormat="false" ht="15" hidden="false" customHeight="true" outlineLevel="0" collapsed="false">
      <c r="A10" s="26" t="n">
        <v>46235</v>
      </c>
      <c r="B10" s="27"/>
      <c r="C10" s="28" t="str">
        <f aca="false">IF(A10="","",TEXT(A10,"dddd"))</f>
        <v>Saturday</v>
      </c>
      <c r="D10" s="28" t="str">
        <f aca="false">IF(A10="","",TEXT(A10,"MMMM"))</f>
        <v>August</v>
      </c>
      <c r="E10" s="28" t="n">
        <f aca="false">IF(A10="","",YEAR(A10))</f>
        <v>2026</v>
      </c>
      <c r="F10" s="29" t="s">
        <v>49</v>
      </c>
      <c r="G10" s="30" t="n">
        <v>83167</v>
      </c>
      <c r="H10" s="29" t="s">
        <v>104</v>
      </c>
      <c r="I10" s="29" t="s">
        <v>105</v>
      </c>
      <c r="J10" s="29" t="s">
        <v>106</v>
      </c>
      <c r="K10" s="31" t="b">
        <f aca="false">FALSE()</f>
        <v>0</v>
      </c>
      <c r="L10" s="29" t="s">
        <v>107</v>
      </c>
    </row>
    <row r="11" customFormat="false" ht="15" hidden="false" customHeight="true" outlineLevel="0" collapsed="false">
      <c r="A11" s="26" t="n">
        <v>46235</v>
      </c>
      <c r="B11" s="27"/>
      <c r="C11" s="28" t="str">
        <f aca="false">IF(A11="","",TEXT(A11,"dddd"))</f>
        <v>Saturday</v>
      </c>
      <c r="D11" s="28" t="str">
        <f aca="false">IF(A11="","",TEXT(A11,"MMMM"))</f>
        <v>August</v>
      </c>
      <c r="E11" s="28" t="n">
        <f aca="false">IF(A11="","",YEAR(A11))</f>
        <v>2026</v>
      </c>
      <c r="F11" s="29" t="s">
        <v>98</v>
      </c>
      <c r="G11" s="30" t="n">
        <v>20</v>
      </c>
      <c r="H11" s="29" t="s">
        <v>105</v>
      </c>
      <c r="I11" s="29" t="s">
        <v>98</v>
      </c>
      <c r="J11" s="29" t="s">
        <v>64</v>
      </c>
      <c r="K11" s="31" t="b">
        <f aca="false">TRUE()</f>
        <v>1</v>
      </c>
      <c r="L11" s="29" t="s">
        <v>108</v>
      </c>
    </row>
    <row r="12" customFormat="false" ht="15" hidden="false" customHeight="true" outlineLevel="0" collapsed="false">
      <c r="A12" s="26" t="n">
        <v>46235</v>
      </c>
      <c r="B12" s="27"/>
      <c r="C12" s="28" t="str">
        <f aca="false">IF(A12="","",TEXT(A12,"dddd"))</f>
        <v>Saturday</v>
      </c>
      <c r="D12" s="28" t="str">
        <f aca="false">IF(A12="","",TEXT(A12,"MMMM"))</f>
        <v>August</v>
      </c>
      <c r="E12" s="28" t="n">
        <f aca="false">IF(A12="","",YEAR(A12))</f>
        <v>2026</v>
      </c>
      <c r="F12" s="29" t="s">
        <v>98</v>
      </c>
      <c r="G12" s="30" t="n">
        <v>25</v>
      </c>
      <c r="H12" s="29" t="s">
        <v>105</v>
      </c>
      <c r="I12" s="29" t="s">
        <v>98</v>
      </c>
      <c r="J12" s="29" t="s">
        <v>64</v>
      </c>
      <c r="K12" s="31" t="b">
        <f aca="false">TRUE()</f>
        <v>1</v>
      </c>
      <c r="L12" s="29" t="s">
        <v>109</v>
      </c>
    </row>
    <row r="13" customFormat="false" ht="15" hidden="false" customHeight="true" outlineLevel="0" collapsed="false">
      <c r="A13" s="26" t="n">
        <v>46235</v>
      </c>
      <c r="B13" s="27"/>
      <c r="C13" s="28" t="str">
        <f aca="false">IF(A13="","",TEXT(A13,"dddd"))</f>
        <v>Saturday</v>
      </c>
      <c r="D13" s="28" t="str">
        <f aca="false">IF(A13="","",TEXT(A13,"MMMM"))</f>
        <v>August</v>
      </c>
      <c r="E13" s="28" t="n">
        <f aca="false">IF(A13="","",YEAR(A13))</f>
        <v>2026</v>
      </c>
      <c r="F13" s="29" t="s">
        <v>98</v>
      </c>
      <c r="G13" s="30" t="n">
        <v>30</v>
      </c>
      <c r="H13" s="29" t="s">
        <v>105</v>
      </c>
      <c r="I13" s="29" t="s">
        <v>98</v>
      </c>
      <c r="J13" s="29" t="s">
        <v>62</v>
      </c>
      <c r="K13" s="31" t="b">
        <f aca="false">TRUE()</f>
        <v>1</v>
      </c>
      <c r="L13" s="29" t="s">
        <v>110</v>
      </c>
    </row>
    <row r="14" customFormat="false" ht="15" hidden="false" customHeight="true" outlineLevel="0" collapsed="false">
      <c r="A14" s="26" t="n">
        <v>46235</v>
      </c>
      <c r="B14" s="27"/>
      <c r="C14" s="28" t="str">
        <f aca="false">IF(A14="","",TEXT(A14,"dddd"))</f>
        <v>Saturday</v>
      </c>
      <c r="D14" s="28" t="str">
        <f aca="false">IF(A14="","",TEXT(A14,"MMMM"))</f>
        <v>August</v>
      </c>
      <c r="E14" s="28" t="n">
        <f aca="false">IF(A14="","",YEAR(A14))</f>
        <v>2026</v>
      </c>
      <c r="F14" s="29" t="s">
        <v>98</v>
      </c>
      <c r="G14" s="30" t="n">
        <v>60</v>
      </c>
      <c r="H14" s="29" t="s">
        <v>105</v>
      </c>
      <c r="I14" s="29" t="s">
        <v>98</v>
      </c>
      <c r="J14" s="29" t="s">
        <v>62</v>
      </c>
      <c r="K14" s="31" t="b">
        <f aca="false">TRUE()</f>
        <v>1</v>
      </c>
      <c r="L14" s="29" t="s">
        <v>110</v>
      </c>
    </row>
    <row r="15" customFormat="false" ht="15" hidden="false" customHeight="true" outlineLevel="0" collapsed="false">
      <c r="A15" s="26" t="n">
        <v>46235</v>
      </c>
      <c r="B15" s="27"/>
      <c r="C15" s="28" t="str">
        <f aca="false">IF(A15="","",TEXT(A15,"dddd"))</f>
        <v>Saturday</v>
      </c>
      <c r="D15" s="28" t="str">
        <f aca="false">IF(A15="","",TEXT(A15,"MMMM"))</f>
        <v>August</v>
      </c>
      <c r="E15" s="28" t="n">
        <f aca="false">IF(A15="","",YEAR(A15))</f>
        <v>2026</v>
      </c>
      <c r="F15" s="29" t="s">
        <v>98</v>
      </c>
      <c r="G15" s="30" t="n">
        <v>84</v>
      </c>
      <c r="H15" s="29" t="s">
        <v>10</v>
      </c>
      <c r="I15" s="29" t="s">
        <v>98</v>
      </c>
      <c r="J15" s="29" t="s">
        <v>78</v>
      </c>
      <c r="K15" s="31" t="b">
        <f aca="false">TRUE()</f>
        <v>1</v>
      </c>
      <c r="L15" s="29" t="s">
        <v>111</v>
      </c>
    </row>
    <row r="16" customFormat="false" ht="15" hidden="false" customHeight="true" outlineLevel="0" collapsed="false">
      <c r="A16" s="26" t="n">
        <v>46235</v>
      </c>
      <c r="B16" s="27"/>
      <c r="C16" s="28" t="str">
        <f aca="false">IF(A16="","",TEXT(A16,"dddd"))</f>
        <v>Saturday</v>
      </c>
      <c r="D16" s="28" t="str">
        <f aca="false">IF(A16="","",TEXT(A16,"MMMM"))</f>
        <v>August</v>
      </c>
      <c r="E16" s="28" t="n">
        <f aca="false">IF(A16="","",YEAR(A16))</f>
        <v>2026</v>
      </c>
      <c r="F16" s="29" t="s">
        <v>98</v>
      </c>
      <c r="G16" s="30" t="n">
        <v>278</v>
      </c>
      <c r="H16" s="29" t="s">
        <v>10</v>
      </c>
      <c r="I16" s="29" t="s">
        <v>98</v>
      </c>
      <c r="J16" s="29" t="s">
        <v>61</v>
      </c>
      <c r="K16" s="31" t="b">
        <f aca="false">TRUE()</f>
        <v>1</v>
      </c>
      <c r="L16" s="29" t="s">
        <v>112</v>
      </c>
    </row>
    <row r="17" customFormat="false" ht="15" hidden="false" customHeight="true" outlineLevel="0" collapsed="false">
      <c r="A17" s="26" t="n">
        <v>46235</v>
      </c>
      <c r="B17" s="27"/>
      <c r="C17" s="28" t="str">
        <f aca="false">IF(A17="","",TEXT(A17,"dddd"))</f>
        <v>Saturday</v>
      </c>
      <c r="D17" s="28" t="str">
        <f aca="false">IF(A17="","",TEXT(A17,"MMMM"))</f>
        <v>August</v>
      </c>
      <c r="E17" s="28" t="n">
        <f aca="false">IF(A17="","",YEAR(A17))</f>
        <v>2026</v>
      </c>
      <c r="F17" s="29" t="s">
        <v>98</v>
      </c>
      <c r="G17" s="30" t="n">
        <v>285.33</v>
      </c>
      <c r="H17" s="29" t="s">
        <v>10</v>
      </c>
      <c r="I17" s="29" t="s">
        <v>98</v>
      </c>
      <c r="J17" s="29" t="s">
        <v>64</v>
      </c>
      <c r="K17" s="31" t="b">
        <f aca="false">TRUE()</f>
        <v>1</v>
      </c>
      <c r="L17" s="29" t="s">
        <v>113</v>
      </c>
    </row>
    <row r="18" customFormat="false" ht="15" hidden="false" customHeight="true" outlineLevel="0" collapsed="false">
      <c r="A18" s="26" t="n">
        <v>46235</v>
      </c>
      <c r="B18" s="27"/>
      <c r="C18" s="28" t="str">
        <f aca="false">IF(A18="","",TEXT(A18,"dddd"))</f>
        <v>Saturday</v>
      </c>
      <c r="D18" s="28" t="str">
        <f aca="false">IF(A18="","",TEXT(A18,"MMMM"))</f>
        <v>August</v>
      </c>
      <c r="E18" s="28" t="n">
        <f aca="false">IF(A18="","",YEAR(A18))</f>
        <v>2026</v>
      </c>
      <c r="F18" s="29" t="s">
        <v>98</v>
      </c>
      <c r="G18" s="30" t="n">
        <v>10000</v>
      </c>
      <c r="H18" s="29" t="s">
        <v>105</v>
      </c>
      <c r="I18" s="29" t="s">
        <v>98</v>
      </c>
      <c r="J18" s="29" t="s">
        <v>114</v>
      </c>
      <c r="K18" s="31" t="b">
        <f aca="false">TRUE()</f>
        <v>1</v>
      </c>
      <c r="L18" s="29" t="s">
        <v>115</v>
      </c>
    </row>
    <row r="19" customFormat="false" ht="15" hidden="false" customHeight="true" outlineLevel="0" collapsed="false">
      <c r="A19" s="26" t="n">
        <v>46235</v>
      </c>
      <c r="B19" s="27"/>
      <c r="C19" s="28" t="str">
        <f aca="false">IF(A19="","",TEXT(A19,"dddd"))</f>
        <v>Saturday</v>
      </c>
      <c r="D19" s="28" t="str">
        <f aca="false">IF(A19="","",TEXT(A19,"MMMM"))</f>
        <v>August</v>
      </c>
      <c r="E19" s="28" t="n">
        <f aca="false">IF(A19="","",YEAR(A19))</f>
        <v>2026</v>
      </c>
      <c r="F19" s="29" t="s">
        <v>98</v>
      </c>
      <c r="G19" s="30" t="n">
        <v>10800</v>
      </c>
      <c r="H19" s="29" t="s">
        <v>105</v>
      </c>
      <c r="I19" s="29" t="s">
        <v>98</v>
      </c>
      <c r="J19" s="29" t="s">
        <v>116</v>
      </c>
      <c r="K19" s="31" t="b">
        <f aca="false">TRUE()</f>
        <v>1</v>
      </c>
      <c r="L19" s="29" t="s">
        <v>117</v>
      </c>
    </row>
    <row r="20" customFormat="false" ht="15" hidden="false" customHeight="true" outlineLevel="0" collapsed="false">
      <c r="A20" s="26" t="n">
        <v>46235</v>
      </c>
      <c r="B20" s="27"/>
      <c r="C20" s="28" t="str">
        <f aca="false">IF(A20="","",TEXT(A20,"dddd"))</f>
        <v>Saturday</v>
      </c>
      <c r="D20" s="28" t="str">
        <f aca="false">IF(A20="","",TEXT(A20,"MMMM"))</f>
        <v>August</v>
      </c>
      <c r="E20" s="28" t="n">
        <f aca="false">IF(A20="","",YEAR(A20))</f>
        <v>2026</v>
      </c>
      <c r="F20" s="29" t="s">
        <v>118</v>
      </c>
      <c r="G20" s="30" t="n">
        <v>11723.51</v>
      </c>
      <c r="H20" s="29" t="s">
        <v>105</v>
      </c>
      <c r="I20" s="29" t="s">
        <v>11</v>
      </c>
      <c r="J20" s="29" t="s">
        <v>119</v>
      </c>
      <c r="K20" s="31" t="b">
        <f aca="false">FALSE()</f>
        <v>0</v>
      </c>
      <c r="L20" s="29" t="s">
        <v>120</v>
      </c>
    </row>
    <row r="21" customFormat="false" ht="15" hidden="false" customHeight="true" outlineLevel="0" collapsed="false">
      <c r="A21" s="26" t="n">
        <v>46235</v>
      </c>
      <c r="B21" s="27"/>
      <c r="C21" s="28" t="str">
        <f aca="false">IF(A21="","",TEXT(A21,"dddd"))</f>
        <v>Saturday</v>
      </c>
      <c r="D21" s="28" t="str">
        <f aca="false">IF(A21="","",TEXT(A21,"MMMM"))</f>
        <v>August</v>
      </c>
      <c r="E21" s="28" t="n">
        <f aca="false">IF(A21="","",YEAR(A21))</f>
        <v>2026</v>
      </c>
      <c r="F21" s="29" t="s">
        <v>98</v>
      </c>
      <c r="G21" s="30" t="n">
        <v>20800</v>
      </c>
      <c r="H21" s="29" t="s">
        <v>105</v>
      </c>
      <c r="I21" s="29" t="s">
        <v>98</v>
      </c>
      <c r="J21" s="29" t="s">
        <v>121</v>
      </c>
      <c r="K21" s="31" t="b">
        <f aca="false">FALSE()</f>
        <v>0</v>
      </c>
      <c r="L21" s="29" t="s">
        <v>122</v>
      </c>
    </row>
    <row r="22" customFormat="false" ht="15" hidden="false" customHeight="true" outlineLevel="0" collapsed="false">
      <c r="A22" s="26" t="n">
        <v>46235</v>
      </c>
      <c r="B22" s="27"/>
      <c r="C22" s="28" t="str">
        <f aca="false">IF(A22="","",TEXT(A22,"dddd"))</f>
        <v>Saturday</v>
      </c>
      <c r="D22" s="28" t="str">
        <f aca="false">IF(A22="","",TEXT(A22,"MMMM"))</f>
        <v>August</v>
      </c>
      <c r="E22" s="28" t="n">
        <f aca="false">IF(A22="","",YEAR(A22))</f>
        <v>2026</v>
      </c>
      <c r="F22" s="29" t="s">
        <v>98</v>
      </c>
      <c r="G22" s="30" t="n">
        <v>29871</v>
      </c>
      <c r="H22" s="29" t="s">
        <v>10</v>
      </c>
      <c r="I22" s="29" t="s">
        <v>98</v>
      </c>
      <c r="J22" s="29" t="s">
        <v>123</v>
      </c>
      <c r="K22" s="31" t="b">
        <f aca="false">FALSE()</f>
        <v>0</v>
      </c>
      <c r="L22" s="29" t="s">
        <v>124</v>
      </c>
    </row>
    <row r="23" customFormat="false" ht="15" hidden="false" customHeight="true" outlineLevel="0" collapsed="false">
      <c r="A23" s="26" t="n">
        <v>46236</v>
      </c>
      <c r="B23" s="27"/>
      <c r="C23" s="28" t="str">
        <f aca="false">IF(A23="","",TEXT(A23,"dddd"))</f>
        <v>Sunday</v>
      </c>
      <c r="D23" s="28" t="str">
        <f aca="false">IF(A23="","",TEXT(A23,"MMMM"))</f>
        <v>August</v>
      </c>
      <c r="E23" s="28" t="n">
        <f aca="false">IF(A23="","",YEAR(A23))</f>
        <v>2026</v>
      </c>
      <c r="F23" s="29" t="s">
        <v>98</v>
      </c>
      <c r="G23" s="30" t="n">
        <v>23</v>
      </c>
      <c r="H23" s="29" t="s">
        <v>105</v>
      </c>
      <c r="I23" s="29" t="s">
        <v>98</v>
      </c>
      <c r="J23" s="29" t="s">
        <v>62</v>
      </c>
      <c r="K23" s="31" t="b">
        <f aca="false">TRUE()</f>
        <v>1</v>
      </c>
      <c r="L23" s="29" t="s">
        <v>125</v>
      </c>
    </row>
    <row r="24" customFormat="false" ht="15" hidden="false" customHeight="true" outlineLevel="0" collapsed="false">
      <c r="A24" s="26" t="n">
        <v>46236</v>
      </c>
      <c r="B24" s="27"/>
      <c r="C24" s="28" t="str">
        <f aca="false">IF(A24="","",TEXT(A24,"dddd"))</f>
        <v>Sunday</v>
      </c>
      <c r="D24" s="28" t="str">
        <f aca="false">IF(A24="","",TEXT(A24,"MMMM"))</f>
        <v>August</v>
      </c>
      <c r="E24" s="28" t="n">
        <f aca="false">IF(A24="","",YEAR(A24))</f>
        <v>2026</v>
      </c>
      <c r="F24" s="29" t="s">
        <v>98</v>
      </c>
      <c r="G24" s="30" t="n">
        <v>791</v>
      </c>
      <c r="H24" s="29" t="s">
        <v>10</v>
      </c>
      <c r="I24" s="29" t="s">
        <v>98</v>
      </c>
      <c r="J24" s="29" t="s">
        <v>61</v>
      </c>
      <c r="K24" s="31" t="b">
        <f aca="false">TRUE()</f>
        <v>1</v>
      </c>
      <c r="L24" s="29" t="s">
        <v>126</v>
      </c>
    </row>
    <row r="25" customFormat="false" ht="15" hidden="false" customHeight="true" outlineLevel="0" collapsed="false">
      <c r="A25" s="26" t="n">
        <v>46236</v>
      </c>
      <c r="B25" s="27"/>
      <c r="C25" s="28" t="str">
        <f aca="false">IF(A25="","",TEXT(A25,"dddd"))</f>
        <v>Sunday</v>
      </c>
      <c r="D25" s="28" t="str">
        <f aca="false">IF(A25="","",TEXT(A25,"MMMM"))</f>
        <v>August</v>
      </c>
      <c r="E25" s="28" t="n">
        <f aca="false">IF(A25="","",YEAR(A25))</f>
        <v>2026</v>
      </c>
      <c r="F25" s="29" t="s">
        <v>101</v>
      </c>
      <c r="G25" s="30" t="n">
        <v>2000</v>
      </c>
      <c r="H25" s="29" t="s">
        <v>98</v>
      </c>
      <c r="I25" s="29" t="s">
        <v>105</v>
      </c>
      <c r="J25" s="29" t="s">
        <v>127</v>
      </c>
      <c r="K25" s="31" t="b">
        <f aca="false">FALSE()</f>
        <v>0</v>
      </c>
      <c r="L25" s="29" t="s">
        <v>128</v>
      </c>
    </row>
    <row r="26" customFormat="false" ht="15" hidden="false" customHeight="true" outlineLevel="0" collapsed="false">
      <c r="A26" s="26" t="n">
        <v>46236</v>
      </c>
      <c r="B26" s="27"/>
      <c r="C26" s="28" t="str">
        <f aca="false">IF(A26="","",TEXT(A26,"dddd"))</f>
        <v>Sunday</v>
      </c>
      <c r="D26" s="28" t="str">
        <f aca="false">IF(A26="","",TEXT(A26,"MMMM"))</f>
        <v>August</v>
      </c>
      <c r="E26" s="28" t="n">
        <f aca="false">IF(A26="","",YEAR(A26))</f>
        <v>2026</v>
      </c>
      <c r="F26" s="29" t="s">
        <v>101</v>
      </c>
      <c r="G26" s="30" t="n">
        <v>2000</v>
      </c>
      <c r="H26" s="29" t="s">
        <v>98</v>
      </c>
      <c r="I26" s="29" t="s">
        <v>105</v>
      </c>
      <c r="J26" s="29" t="s">
        <v>127</v>
      </c>
      <c r="K26" s="31" t="b">
        <f aca="false">FALSE()</f>
        <v>0</v>
      </c>
      <c r="L26" s="29" t="s">
        <v>128</v>
      </c>
    </row>
    <row r="27" customFormat="false" ht="15" hidden="false" customHeight="true" outlineLevel="0" collapsed="false">
      <c r="A27" s="26" t="n">
        <v>46236</v>
      </c>
      <c r="B27" s="27"/>
      <c r="C27" s="28" t="str">
        <f aca="false">IF(A27="","",TEXT(A27,"dddd"))</f>
        <v>Sunday</v>
      </c>
      <c r="D27" s="28" t="str">
        <f aca="false">IF(A27="","",TEXT(A27,"MMMM"))</f>
        <v>August</v>
      </c>
      <c r="E27" s="28" t="n">
        <f aca="false">IF(A27="","",YEAR(A27))</f>
        <v>2026</v>
      </c>
      <c r="F27" s="29" t="s">
        <v>101</v>
      </c>
      <c r="G27" s="30" t="n">
        <v>3000</v>
      </c>
      <c r="H27" s="29" t="s">
        <v>98</v>
      </c>
      <c r="I27" s="29" t="s">
        <v>105</v>
      </c>
      <c r="J27" s="29" t="s">
        <v>127</v>
      </c>
      <c r="K27" s="31" t="b">
        <f aca="false">FALSE()</f>
        <v>0</v>
      </c>
      <c r="L27" s="29" t="s">
        <v>128</v>
      </c>
    </row>
    <row r="28" customFormat="false" ht="15" hidden="false" customHeight="true" outlineLevel="0" collapsed="false">
      <c r="A28" s="26" t="n">
        <v>46236</v>
      </c>
      <c r="B28" s="27"/>
      <c r="C28" s="28" t="str">
        <f aca="false">IF(A28="","",TEXT(A28,"dddd"))</f>
        <v>Sunday</v>
      </c>
      <c r="D28" s="28" t="str">
        <f aca="false">IF(A28="","",TEXT(A28,"MMMM"))</f>
        <v>August</v>
      </c>
      <c r="E28" s="28" t="n">
        <f aca="false">IF(A28="","",YEAR(A28))</f>
        <v>2026</v>
      </c>
      <c r="F28" s="29" t="s">
        <v>101</v>
      </c>
      <c r="G28" s="30" t="n">
        <v>8000</v>
      </c>
      <c r="H28" s="29" t="s">
        <v>98</v>
      </c>
      <c r="I28" s="29" t="s">
        <v>105</v>
      </c>
      <c r="J28" s="29" t="s">
        <v>127</v>
      </c>
      <c r="K28" s="31" t="b">
        <f aca="false">FALSE()</f>
        <v>0</v>
      </c>
      <c r="L28" s="29" t="s">
        <v>128</v>
      </c>
    </row>
    <row r="29" customFormat="false" ht="15" hidden="false" customHeight="true" outlineLevel="0" collapsed="false">
      <c r="A29" s="26" t="n">
        <v>46237</v>
      </c>
      <c r="B29" s="27"/>
      <c r="C29" s="28" t="str">
        <f aca="false">IF(A29="","",TEXT(A29,"dddd"))</f>
        <v>Monday</v>
      </c>
      <c r="D29" s="28" t="str">
        <f aca="false">IF(A29="","",TEXT(A29,"MMMM"))</f>
        <v>August</v>
      </c>
      <c r="E29" s="28" t="n">
        <f aca="false">IF(A29="","",YEAR(A29))</f>
        <v>2026</v>
      </c>
      <c r="F29" s="29" t="s">
        <v>98</v>
      </c>
      <c r="G29" s="30" t="n">
        <v>5</v>
      </c>
      <c r="H29" s="29" t="s">
        <v>105</v>
      </c>
      <c r="I29" s="29" t="s">
        <v>98</v>
      </c>
      <c r="J29" s="29" t="s">
        <v>84</v>
      </c>
      <c r="K29" s="31" t="b">
        <f aca="false">TRUE()</f>
        <v>1</v>
      </c>
      <c r="L29" s="29" t="s">
        <v>129</v>
      </c>
    </row>
    <row r="30" customFormat="false" ht="15" hidden="false" customHeight="true" outlineLevel="0" collapsed="false">
      <c r="A30" s="26" t="n">
        <v>46237</v>
      </c>
      <c r="B30" s="27"/>
      <c r="C30" s="28" t="str">
        <f aca="false">IF(A30="","",TEXT(A30,"dddd"))</f>
        <v>Monday</v>
      </c>
      <c r="D30" s="28" t="str">
        <f aca="false">IF(A30="","",TEXT(A30,"MMMM"))</f>
        <v>August</v>
      </c>
      <c r="E30" s="28" t="n">
        <f aca="false">IF(A30="","",YEAR(A30))</f>
        <v>2026</v>
      </c>
      <c r="F30" s="29" t="s">
        <v>98</v>
      </c>
      <c r="G30" s="30" t="n">
        <v>20</v>
      </c>
      <c r="H30" s="29" t="s">
        <v>105</v>
      </c>
      <c r="I30" s="29" t="s">
        <v>98</v>
      </c>
      <c r="J30" s="29" t="s">
        <v>64</v>
      </c>
      <c r="K30" s="31" t="b">
        <f aca="false">TRUE()</f>
        <v>1</v>
      </c>
      <c r="L30" s="29" t="s">
        <v>130</v>
      </c>
    </row>
    <row r="31" customFormat="false" ht="15" hidden="false" customHeight="true" outlineLevel="0" collapsed="false">
      <c r="A31" s="26" t="n">
        <v>46237</v>
      </c>
      <c r="B31" s="27"/>
      <c r="C31" s="28" t="str">
        <f aca="false">IF(A31="","",TEXT(A31,"dddd"))</f>
        <v>Monday</v>
      </c>
      <c r="D31" s="28" t="str">
        <f aca="false">IF(A31="","",TEXT(A31,"MMMM"))</f>
        <v>August</v>
      </c>
      <c r="E31" s="28" t="n">
        <f aca="false">IF(A31="","",YEAR(A31))</f>
        <v>2026</v>
      </c>
      <c r="F31" s="29" t="s">
        <v>98</v>
      </c>
      <c r="G31" s="30" t="n">
        <v>20</v>
      </c>
      <c r="H31" s="29" t="s">
        <v>105</v>
      </c>
      <c r="I31" s="29" t="s">
        <v>98</v>
      </c>
      <c r="J31" s="29" t="s">
        <v>131</v>
      </c>
      <c r="K31" s="31" t="b">
        <f aca="false">TRUE()</f>
        <v>1</v>
      </c>
      <c r="L31" s="29" t="s">
        <v>132</v>
      </c>
    </row>
    <row r="32" customFormat="false" ht="15" hidden="false" customHeight="true" outlineLevel="0" collapsed="false">
      <c r="A32" s="26" t="n">
        <v>46237</v>
      </c>
      <c r="B32" s="27"/>
      <c r="C32" s="28" t="str">
        <f aca="false">IF(A32="","",TEXT(A32,"dddd"))</f>
        <v>Monday</v>
      </c>
      <c r="D32" s="28" t="str">
        <f aca="false">IF(A32="","",TEXT(A32,"MMMM"))</f>
        <v>August</v>
      </c>
      <c r="E32" s="28" t="n">
        <f aca="false">IF(A32="","",YEAR(A32))</f>
        <v>2026</v>
      </c>
      <c r="F32" s="29" t="s">
        <v>98</v>
      </c>
      <c r="G32" s="30" t="n">
        <v>20</v>
      </c>
      <c r="H32" s="29" t="s">
        <v>105</v>
      </c>
      <c r="I32" s="29" t="s">
        <v>98</v>
      </c>
      <c r="J32" s="29" t="s">
        <v>64</v>
      </c>
      <c r="K32" s="31" t="b">
        <f aca="false">TRUE()</f>
        <v>1</v>
      </c>
      <c r="L32" s="29" t="s">
        <v>108</v>
      </c>
    </row>
    <row r="33" customFormat="false" ht="15" hidden="false" customHeight="true" outlineLevel="0" collapsed="false">
      <c r="A33" s="26" t="n">
        <v>46237</v>
      </c>
      <c r="B33" s="27"/>
      <c r="C33" s="28" t="str">
        <f aca="false">IF(A33="","",TEXT(A33,"dddd"))</f>
        <v>Monday</v>
      </c>
      <c r="D33" s="28" t="str">
        <f aca="false">IF(A33="","",TEXT(A33,"MMMM"))</f>
        <v>August</v>
      </c>
      <c r="E33" s="28" t="n">
        <f aca="false">IF(A33="","",YEAR(A33))</f>
        <v>2026</v>
      </c>
      <c r="F33" s="29" t="s">
        <v>98</v>
      </c>
      <c r="G33" s="30" t="n">
        <v>25</v>
      </c>
      <c r="H33" s="29" t="s">
        <v>105</v>
      </c>
      <c r="I33" s="29" t="s">
        <v>98</v>
      </c>
      <c r="J33" s="29" t="s">
        <v>64</v>
      </c>
      <c r="K33" s="31" t="b">
        <f aca="false">TRUE()</f>
        <v>1</v>
      </c>
      <c r="L33" s="29" t="s">
        <v>109</v>
      </c>
    </row>
    <row r="34" customFormat="false" ht="15" hidden="false" customHeight="true" outlineLevel="0" collapsed="false">
      <c r="A34" s="26" t="n">
        <v>46237</v>
      </c>
      <c r="B34" s="27"/>
      <c r="C34" s="28" t="str">
        <f aca="false">IF(A34="","",TEXT(A34,"dddd"))</f>
        <v>Monday</v>
      </c>
      <c r="D34" s="28" t="str">
        <f aca="false">IF(A34="","",TEXT(A34,"MMMM"))</f>
        <v>August</v>
      </c>
      <c r="E34" s="28" t="n">
        <f aca="false">IF(A34="","",YEAR(A34))</f>
        <v>2026</v>
      </c>
      <c r="F34" s="29" t="s">
        <v>98</v>
      </c>
      <c r="G34" s="30" t="n">
        <v>33</v>
      </c>
      <c r="H34" s="29" t="s">
        <v>105</v>
      </c>
      <c r="I34" s="29" t="s">
        <v>98</v>
      </c>
      <c r="J34" s="29" t="s">
        <v>133</v>
      </c>
      <c r="K34" s="31" t="b">
        <f aca="false">TRUE()</f>
        <v>1</v>
      </c>
      <c r="L34" s="29" t="s">
        <v>134</v>
      </c>
    </row>
    <row r="35" customFormat="false" ht="15" hidden="false" customHeight="true" outlineLevel="0" collapsed="false">
      <c r="A35" s="26" t="n">
        <v>46237</v>
      </c>
      <c r="B35" s="27"/>
      <c r="C35" s="28" t="str">
        <f aca="false">IF(A35="","",TEXT(A35,"dddd"))</f>
        <v>Monday</v>
      </c>
      <c r="D35" s="28" t="str">
        <f aca="false">IF(A35="","",TEXT(A35,"MMMM"))</f>
        <v>August</v>
      </c>
      <c r="E35" s="28" t="n">
        <f aca="false">IF(A35="","",YEAR(A35))</f>
        <v>2026</v>
      </c>
      <c r="F35" s="29" t="s">
        <v>98</v>
      </c>
      <c r="G35" s="30" t="n">
        <v>120</v>
      </c>
      <c r="H35" s="29" t="s">
        <v>105</v>
      </c>
      <c r="I35" s="29" t="s">
        <v>98</v>
      </c>
      <c r="J35" s="29" t="s">
        <v>64</v>
      </c>
      <c r="K35" s="31" t="b">
        <f aca="false">TRUE()</f>
        <v>1</v>
      </c>
      <c r="L35" s="29" t="s">
        <v>132</v>
      </c>
    </row>
    <row r="36" customFormat="false" ht="15" hidden="false" customHeight="true" outlineLevel="0" collapsed="false">
      <c r="A36" s="26" t="n">
        <v>46237</v>
      </c>
      <c r="B36" s="27"/>
      <c r="C36" s="28" t="str">
        <f aca="false">IF(A36="","",TEXT(A36,"dddd"))</f>
        <v>Monday</v>
      </c>
      <c r="D36" s="28" t="str">
        <f aca="false">IF(A36="","",TEXT(A36,"MMMM"))</f>
        <v>August</v>
      </c>
      <c r="E36" s="28" t="n">
        <f aca="false">IF(A36="","",YEAR(A36))</f>
        <v>2026</v>
      </c>
      <c r="F36" s="29" t="s">
        <v>98</v>
      </c>
      <c r="G36" s="30" t="n">
        <v>170</v>
      </c>
      <c r="H36" s="29" t="s">
        <v>10</v>
      </c>
      <c r="I36" s="29" t="s">
        <v>98</v>
      </c>
      <c r="J36" s="29" t="s">
        <v>64</v>
      </c>
      <c r="K36" s="31" t="b">
        <f aca="false">TRUE()</f>
        <v>1</v>
      </c>
      <c r="L36" s="29" t="s">
        <v>130</v>
      </c>
    </row>
    <row r="37" customFormat="false" ht="15" hidden="false" customHeight="true" outlineLevel="0" collapsed="false">
      <c r="A37" s="26" t="n">
        <v>46238</v>
      </c>
      <c r="B37" s="27"/>
      <c r="C37" s="28" t="str">
        <f aca="false">IF(A37="","",TEXT(A37,"dddd"))</f>
        <v>Tuesday</v>
      </c>
      <c r="D37" s="28" t="str">
        <f aca="false">IF(A37="","",TEXT(A37,"MMMM"))</f>
        <v>August</v>
      </c>
      <c r="E37" s="28" t="n">
        <f aca="false">IF(A37="","",YEAR(A37))</f>
        <v>2026</v>
      </c>
      <c r="F37" s="29" t="s">
        <v>98</v>
      </c>
      <c r="G37" s="30" t="n">
        <v>18</v>
      </c>
      <c r="H37" s="29" t="s">
        <v>105</v>
      </c>
      <c r="I37" s="29" t="s">
        <v>98</v>
      </c>
      <c r="J37" s="29" t="s">
        <v>62</v>
      </c>
      <c r="K37" s="31" t="b">
        <f aca="false">TRUE()</f>
        <v>1</v>
      </c>
      <c r="L37" s="29" t="s">
        <v>125</v>
      </c>
    </row>
    <row r="38" customFormat="false" ht="15" hidden="false" customHeight="true" outlineLevel="0" collapsed="false">
      <c r="A38" s="26" t="n">
        <v>46238</v>
      </c>
      <c r="B38" s="27"/>
      <c r="C38" s="28" t="str">
        <f aca="false">IF(A38="","",TEXT(A38,"dddd"))</f>
        <v>Tuesday</v>
      </c>
      <c r="D38" s="28" t="str">
        <f aca="false">IF(A38="","",TEXT(A38,"MMMM"))</f>
        <v>August</v>
      </c>
      <c r="E38" s="28" t="n">
        <f aca="false">IF(A38="","",YEAR(A38))</f>
        <v>2026</v>
      </c>
      <c r="F38" s="29" t="s">
        <v>98</v>
      </c>
      <c r="G38" s="30" t="n">
        <v>35</v>
      </c>
      <c r="H38" s="29" t="s">
        <v>105</v>
      </c>
      <c r="I38" s="29" t="s">
        <v>98</v>
      </c>
      <c r="J38" s="29" t="s">
        <v>64</v>
      </c>
      <c r="K38" s="31" t="b">
        <f aca="false">TRUE()</f>
        <v>1</v>
      </c>
      <c r="L38" s="29" t="s">
        <v>135</v>
      </c>
    </row>
    <row r="39" customFormat="false" ht="15" hidden="false" customHeight="true" outlineLevel="0" collapsed="false">
      <c r="A39" s="26" t="n">
        <v>46238</v>
      </c>
      <c r="B39" s="27"/>
      <c r="C39" s="28" t="str">
        <f aca="false">IF(A39="","",TEXT(A39,"dddd"))</f>
        <v>Tuesday</v>
      </c>
      <c r="D39" s="28" t="str">
        <f aca="false">IF(A39="","",TEXT(A39,"MMMM"))</f>
        <v>August</v>
      </c>
      <c r="E39" s="28" t="n">
        <f aca="false">IF(A39="","",YEAR(A39))</f>
        <v>2026</v>
      </c>
      <c r="F39" s="29" t="s">
        <v>98</v>
      </c>
      <c r="G39" s="30" t="n">
        <v>135</v>
      </c>
      <c r="H39" s="29" t="s">
        <v>105</v>
      </c>
      <c r="I39" s="29" t="s">
        <v>98</v>
      </c>
      <c r="J39" s="29" t="s">
        <v>85</v>
      </c>
      <c r="K39" s="31" t="b">
        <f aca="false">TRUE()</f>
        <v>1</v>
      </c>
      <c r="L39" s="29" t="s">
        <v>136</v>
      </c>
    </row>
    <row r="40" customFormat="false" ht="15" hidden="false" customHeight="true" outlineLevel="0" collapsed="false">
      <c r="A40" s="26" t="n">
        <v>46239</v>
      </c>
      <c r="B40" s="27"/>
      <c r="C40" s="28" t="str">
        <f aca="false">IF(A40="","",TEXT(A40,"dddd"))</f>
        <v>Wednesday</v>
      </c>
      <c r="D40" s="28" t="str">
        <f aca="false">IF(A40="","",TEXT(A40,"MMMM"))</f>
        <v>August</v>
      </c>
      <c r="E40" s="28" t="n">
        <f aca="false">IF(A40="","",YEAR(A40))</f>
        <v>2026</v>
      </c>
      <c r="F40" s="29" t="s">
        <v>98</v>
      </c>
      <c r="G40" s="30" t="n">
        <v>20</v>
      </c>
      <c r="H40" s="29" t="s">
        <v>105</v>
      </c>
      <c r="I40" s="29" t="s">
        <v>98</v>
      </c>
      <c r="J40" s="29" t="s">
        <v>64</v>
      </c>
      <c r="K40" s="31" t="b">
        <f aca="false">TRUE()</f>
        <v>1</v>
      </c>
      <c r="L40" s="29" t="s">
        <v>108</v>
      </c>
    </row>
    <row r="41" customFormat="false" ht="15" hidden="false" customHeight="true" outlineLevel="0" collapsed="false">
      <c r="A41" s="26" t="n">
        <v>46239</v>
      </c>
      <c r="B41" s="27"/>
      <c r="C41" s="28" t="str">
        <f aca="false">IF(A41="","",TEXT(A41,"dddd"))</f>
        <v>Wednesday</v>
      </c>
      <c r="D41" s="28" t="str">
        <f aca="false">IF(A41="","",TEXT(A41,"MMMM"))</f>
        <v>August</v>
      </c>
      <c r="E41" s="28" t="n">
        <f aca="false">IF(A41="","",YEAR(A41))</f>
        <v>2026</v>
      </c>
      <c r="F41" s="29" t="s">
        <v>98</v>
      </c>
      <c r="G41" s="30" t="n">
        <v>25</v>
      </c>
      <c r="H41" s="29" t="s">
        <v>105</v>
      </c>
      <c r="I41" s="29" t="s">
        <v>98</v>
      </c>
      <c r="J41" s="29" t="s">
        <v>64</v>
      </c>
      <c r="K41" s="31" t="b">
        <f aca="false">TRUE()</f>
        <v>1</v>
      </c>
      <c r="L41" s="29" t="s">
        <v>109</v>
      </c>
    </row>
    <row r="42" customFormat="false" ht="15" hidden="false" customHeight="true" outlineLevel="0" collapsed="false">
      <c r="A42" s="26" t="n">
        <v>46239</v>
      </c>
      <c r="B42" s="27"/>
      <c r="C42" s="28" t="str">
        <f aca="false">IF(A42="","",TEXT(A42,"dddd"))</f>
        <v>Wednesday</v>
      </c>
      <c r="D42" s="28" t="str">
        <f aca="false">IF(A42="","",TEXT(A42,"MMMM"))</f>
        <v>August</v>
      </c>
      <c r="E42" s="28" t="n">
        <f aca="false">IF(A42="","",YEAR(A42))</f>
        <v>2026</v>
      </c>
      <c r="F42" s="29" t="s">
        <v>98</v>
      </c>
      <c r="G42" s="30" t="n">
        <v>95</v>
      </c>
      <c r="H42" s="29" t="s">
        <v>105</v>
      </c>
      <c r="I42" s="29" t="s">
        <v>98</v>
      </c>
      <c r="J42" s="29" t="s">
        <v>62</v>
      </c>
      <c r="K42" s="31" t="b">
        <f aca="false">TRUE()</f>
        <v>1</v>
      </c>
      <c r="L42" s="29" t="s">
        <v>110</v>
      </c>
    </row>
    <row r="43" customFormat="false" ht="15" hidden="false" customHeight="true" outlineLevel="0" collapsed="false">
      <c r="A43" s="26" t="n">
        <v>46239</v>
      </c>
      <c r="B43" s="27"/>
      <c r="C43" s="28" t="str">
        <f aca="false">IF(A43="","",TEXT(A43,"dddd"))</f>
        <v>Wednesday</v>
      </c>
      <c r="D43" s="28" t="str">
        <f aca="false">IF(A43="","",TEXT(A43,"MMMM"))</f>
        <v>August</v>
      </c>
      <c r="E43" s="28" t="n">
        <f aca="false">IF(A43="","",YEAR(A43))</f>
        <v>2026</v>
      </c>
      <c r="F43" s="29" t="s">
        <v>98</v>
      </c>
      <c r="G43" s="30" t="n">
        <v>228</v>
      </c>
      <c r="H43" s="29" t="s">
        <v>105</v>
      </c>
      <c r="I43" s="29" t="s">
        <v>98</v>
      </c>
      <c r="J43" s="29" t="s">
        <v>64</v>
      </c>
      <c r="K43" s="31" t="b">
        <f aca="false">TRUE()</f>
        <v>1</v>
      </c>
      <c r="L43" s="29" t="s">
        <v>100</v>
      </c>
    </row>
    <row r="44" customFormat="false" ht="15" hidden="false" customHeight="true" outlineLevel="0" collapsed="false">
      <c r="A44" s="26" t="n">
        <v>46240</v>
      </c>
      <c r="B44" s="27"/>
      <c r="C44" s="28" t="str">
        <f aca="false">IF(A44="","",TEXT(A44,"dddd"))</f>
        <v>Thursday</v>
      </c>
      <c r="D44" s="28" t="str">
        <f aca="false">IF(A44="","",TEXT(A44,"MMMM"))</f>
        <v>August</v>
      </c>
      <c r="E44" s="28" t="n">
        <f aca="false">IF(A44="","",YEAR(A44))</f>
        <v>2026</v>
      </c>
      <c r="F44" s="29" t="s">
        <v>98</v>
      </c>
      <c r="G44" s="30" t="n">
        <v>18</v>
      </c>
      <c r="H44" s="29" t="s">
        <v>105</v>
      </c>
      <c r="I44" s="29" t="s">
        <v>98</v>
      </c>
      <c r="J44" s="29" t="s">
        <v>62</v>
      </c>
      <c r="K44" s="31" t="b">
        <f aca="false">TRUE()</f>
        <v>1</v>
      </c>
      <c r="L44" s="29" t="s">
        <v>125</v>
      </c>
    </row>
    <row r="45" customFormat="false" ht="15" hidden="false" customHeight="true" outlineLevel="0" collapsed="false">
      <c r="A45" s="26" t="n">
        <v>46240</v>
      </c>
      <c r="B45" s="27"/>
      <c r="C45" s="28" t="str">
        <f aca="false">IF(A45="","",TEXT(A45,"dddd"))</f>
        <v>Thursday</v>
      </c>
      <c r="D45" s="28" t="str">
        <f aca="false">IF(A45="","",TEXT(A45,"MMMM"))</f>
        <v>August</v>
      </c>
      <c r="E45" s="28" t="n">
        <f aca="false">IF(A45="","",YEAR(A45))</f>
        <v>2026</v>
      </c>
      <c r="F45" s="29" t="s">
        <v>98</v>
      </c>
      <c r="G45" s="30" t="n">
        <v>35</v>
      </c>
      <c r="H45" s="29" t="s">
        <v>105</v>
      </c>
      <c r="I45" s="29" t="s">
        <v>98</v>
      </c>
      <c r="J45" s="29" t="s">
        <v>64</v>
      </c>
      <c r="K45" s="31" t="b">
        <f aca="false">TRUE()</f>
        <v>1</v>
      </c>
      <c r="L45" s="29" t="s">
        <v>135</v>
      </c>
    </row>
    <row r="46" customFormat="false" ht="15" hidden="false" customHeight="true" outlineLevel="0" collapsed="false">
      <c r="A46" s="26" t="n">
        <v>46240</v>
      </c>
      <c r="B46" s="27"/>
      <c r="C46" s="28" t="str">
        <f aca="false">IF(A46="","",TEXT(A46,"dddd"))</f>
        <v>Thursday</v>
      </c>
      <c r="D46" s="28" t="str">
        <f aca="false">IF(A46="","",TEXT(A46,"MMMM"))</f>
        <v>August</v>
      </c>
      <c r="E46" s="28" t="n">
        <f aca="false">IF(A46="","",YEAR(A46))</f>
        <v>2026</v>
      </c>
      <c r="F46" s="29" t="s">
        <v>98</v>
      </c>
      <c r="G46" s="30" t="n">
        <v>36</v>
      </c>
      <c r="H46" s="29" t="s">
        <v>105</v>
      </c>
      <c r="I46" s="29" t="s">
        <v>98</v>
      </c>
      <c r="J46" s="29" t="s">
        <v>62</v>
      </c>
      <c r="K46" s="31" t="b">
        <f aca="false">TRUE()</f>
        <v>1</v>
      </c>
      <c r="L46" s="29" t="s">
        <v>125</v>
      </c>
    </row>
    <row r="47" customFormat="false" ht="15" hidden="false" customHeight="true" outlineLevel="0" collapsed="false">
      <c r="A47" s="26" t="n">
        <v>46240</v>
      </c>
      <c r="B47" s="27"/>
      <c r="C47" s="28" t="str">
        <f aca="false">IF(A47="","",TEXT(A47,"dddd"))</f>
        <v>Thursday</v>
      </c>
      <c r="D47" s="28" t="str">
        <f aca="false">IF(A47="","",TEXT(A47,"MMMM"))</f>
        <v>August</v>
      </c>
      <c r="E47" s="28" t="n">
        <f aca="false">IF(A47="","",YEAR(A47))</f>
        <v>2026</v>
      </c>
      <c r="F47" s="29" t="s">
        <v>98</v>
      </c>
      <c r="G47" s="30" t="n">
        <v>186</v>
      </c>
      <c r="H47" s="29" t="s">
        <v>10</v>
      </c>
      <c r="I47" s="29" t="s">
        <v>98</v>
      </c>
      <c r="J47" s="29" t="s">
        <v>78</v>
      </c>
      <c r="K47" s="31" t="b">
        <f aca="false">TRUE()</f>
        <v>1</v>
      </c>
      <c r="L47" s="29" t="s">
        <v>111</v>
      </c>
    </row>
    <row r="48" customFormat="false" ht="15" hidden="false" customHeight="true" outlineLevel="0" collapsed="false">
      <c r="A48" s="26" t="n">
        <v>46240</v>
      </c>
      <c r="B48" s="27" t="n">
        <v>0.758333333333333</v>
      </c>
      <c r="C48" s="28" t="str">
        <f aca="false">IF(A48="","",TEXT(A48,"dddd"))</f>
        <v>Thursday</v>
      </c>
      <c r="D48" s="28" t="str">
        <f aca="false">IF(A48="","",TEXT(A48,"MMMM"))</f>
        <v>August</v>
      </c>
      <c r="E48" s="28" t="n">
        <f aca="false">IF(A48="","",YEAR(A48))</f>
        <v>2026</v>
      </c>
      <c r="F48" s="29" t="s">
        <v>98</v>
      </c>
      <c r="G48" s="30" t="n">
        <v>899</v>
      </c>
      <c r="H48" s="29" t="s">
        <v>10</v>
      </c>
      <c r="I48" s="29" t="s">
        <v>98</v>
      </c>
      <c r="J48" s="29" t="s">
        <v>82</v>
      </c>
      <c r="K48" s="31" t="b">
        <f aca="false">TRUE()</f>
        <v>1</v>
      </c>
      <c r="L48" s="29" t="s">
        <v>137</v>
      </c>
    </row>
    <row r="49" customFormat="false" ht="15" hidden="false" customHeight="true" outlineLevel="0" collapsed="false">
      <c r="A49" s="26" t="n">
        <v>46240</v>
      </c>
      <c r="B49" s="27" t="n">
        <v>0.938194444444444</v>
      </c>
      <c r="C49" s="28" t="str">
        <f aca="false">IF(A49="","",TEXT(A49,"dddd"))</f>
        <v>Thursday</v>
      </c>
      <c r="D49" s="28" t="str">
        <f aca="false">IF(A49="","",TEXT(A49,"MMMM"))</f>
        <v>August</v>
      </c>
      <c r="E49" s="28" t="n">
        <f aca="false">IF(A49="","",YEAR(A49))</f>
        <v>2026</v>
      </c>
      <c r="F49" s="29" t="s">
        <v>98</v>
      </c>
      <c r="G49" s="30" t="n">
        <v>201</v>
      </c>
      <c r="H49" s="29" t="s">
        <v>10</v>
      </c>
      <c r="I49" s="29" t="s">
        <v>98</v>
      </c>
      <c r="J49" s="29" t="s">
        <v>138</v>
      </c>
      <c r="K49" s="31" t="b">
        <f aca="false">TRUE()</f>
        <v>1</v>
      </c>
      <c r="L49" s="29" t="s">
        <v>139</v>
      </c>
      <c r="M49" s="29" t="s">
        <v>140</v>
      </c>
    </row>
    <row r="50" customFormat="false" ht="15" hidden="false" customHeight="true" outlineLevel="0" collapsed="false">
      <c r="A50" s="26"/>
      <c r="B50" s="27"/>
      <c r="C50" s="1" t="str">
        <f aca="false">IF(A52="","",TEXT(A52,"dddd"))</f>
        <v/>
      </c>
      <c r="D50" s="1" t="str">
        <f aca="false">IF(A52="","",TEXT(A52,"MMMM"))</f>
        <v/>
      </c>
      <c r="E50" s="1" t="str">
        <f aca="false">IF(A52="","",YEAR(A52))</f>
        <v/>
      </c>
      <c r="F50" s="29"/>
      <c r="G50" s="30"/>
      <c r="H50" s="29"/>
      <c r="I50" s="29"/>
      <c r="J50" s="29"/>
      <c r="K50" s="32"/>
      <c r="L50" s="29"/>
    </row>
    <row r="51" customFormat="false" ht="15" hidden="false" customHeight="true" outlineLevel="0" collapsed="false">
      <c r="A51" s="26"/>
      <c r="B51" s="27"/>
      <c r="C51" s="1" t="str">
        <f aca="false">IF(A53="","",TEXT(A53,"dddd"))</f>
        <v/>
      </c>
      <c r="D51" s="1" t="str">
        <f aca="false">IF(A53="","",TEXT(A53,"MMMM"))</f>
        <v/>
      </c>
      <c r="E51" s="1" t="str">
        <f aca="false">IF(A53="","",YEAR(A53))</f>
        <v/>
      </c>
      <c r="F51" s="29"/>
      <c r="G51" s="30"/>
      <c r="H51" s="29"/>
      <c r="I51" s="29"/>
      <c r="J51" s="29"/>
      <c r="K51" s="32"/>
      <c r="L51" s="29"/>
    </row>
    <row r="52" customFormat="false" ht="15" hidden="false" customHeight="true" outlineLevel="0" collapsed="false">
      <c r="A52" s="26"/>
      <c r="B52" s="27"/>
      <c r="C52" s="1" t="str">
        <f aca="false">IF(A54="","",TEXT(A54,"dddd"))</f>
        <v/>
      </c>
      <c r="D52" s="1" t="str">
        <f aca="false">IF(A54="","",TEXT(A54,"MMMM"))</f>
        <v/>
      </c>
      <c r="E52" s="1" t="str">
        <f aca="false">IF(A54="","",YEAR(A54))</f>
        <v/>
      </c>
      <c r="F52" s="29"/>
      <c r="G52" s="30"/>
      <c r="H52" s="29"/>
      <c r="I52" s="29"/>
      <c r="J52" s="29"/>
      <c r="K52" s="32"/>
      <c r="L52" s="29"/>
    </row>
    <row r="53" customFormat="false" ht="15" hidden="false" customHeight="true" outlineLevel="0" collapsed="false">
      <c r="A53" s="26"/>
      <c r="B53" s="27"/>
      <c r="C53" s="1" t="str">
        <f aca="false">IF(A55="","",TEXT(A55,"dddd"))</f>
        <v/>
      </c>
      <c r="D53" s="1" t="str">
        <f aca="false">IF(A55="","",TEXT(A55,"MMMM"))</f>
        <v/>
      </c>
      <c r="E53" s="1" t="str">
        <f aca="false">IF(A55="","",YEAR(A55))</f>
        <v/>
      </c>
      <c r="F53" s="29"/>
      <c r="G53" s="30"/>
      <c r="H53" s="29"/>
      <c r="I53" s="29"/>
      <c r="J53" s="29"/>
      <c r="K53" s="32"/>
      <c r="L53" s="29"/>
    </row>
    <row r="54" customFormat="false" ht="15" hidden="false" customHeight="true" outlineLevel="0" collapsed="false">
      <c r="A54" s="26"/>
      <c r="B54" s="27"/>
      <c r="C54" s="1" t="str">
        <f aca="false">IF(A56="","",TEXT(A56,"dddd"))</f>
        <v/>
      </c>
      <c r="D54" s="1" t="str">
        <f aca="false">IF(A56="","",TEXT(A56,"MMMM"))</f>
        <v/>
      </c>
      <c r="E54" s="1" t="str">
        <f aca="false">IF(A56="","",YEAR(A56))</f>
        <v/>
      </c>
      <c r="F54" s="29"/>
      <c r="G54" s="30"/>
      <c r="H54" s="29"/>
      <c r="I54" s="29"/>
      <c r="J54" s="29"/>
      <c r="K54" s="32"/>
      <c r="L54" s="29"/>
    </row>
    <row r="55" customFormat="false" ht="15" hidden="false" customHeight="true" outlineLevel="0" collapsed="false">
      <c r="A55" s="26"/>
      <c r="B55" s="27"/>
      <c r="C55" s="1" t="str">
        <f aca="false">IF(A57="","",TEXT(A57,"dddd"))</f>
        <v/>
      </c>
      <c r="D55" s="1" t="str">
        <f aca="false">IF(A57="","",TEXT(A57,"MMMM"))</f>
        <v/>
      </c>
      <c r="E55" s="1" t="str">
        <f aca="false">IF(A57="","",YEAR(A57))</f>
        <v/>
      </c>
      <c r="F55" s="29"/>
      <c r="G55" s="30"/>
      <c r="H55" s="29"/>
      <c r="I55" s="29"/>
      <c r="J55" s="29"/>
      <c r="K55" s="32"/>
      <c r="L55" s="29"/>
    </row>
    <row r="56" customFormat="false" ht="15" hidden="false" customHeight="true" outlineLevel="0" collapsed="false">
      <c r="A56" s="26"/>
      <c r="B56" s="27"/>
      <c r="C56" s="1" t="str">
        <f aca="false">IF(A58="","",TEXT(A58,"dddd"))</f>
        <v/>
      </c>
      <c r="D56" s="1" t="str">
        <f aca="false">IF(A58="","",TEXT(A58,"MMMM"))</f>
        <v/>
      </c>
      <c r="E56" s="1" t="str">
        <f aca="false">IF(A58="","",YEAR(A58))</f>
        <v/>
      </c>
      <c r="F56" s="29"/>
      <c r="G56" s="30"/>
      <c r="H56" s="29"/>
      <c r="I56" s="29"/>
      <c r="J56" s="29"/>
      <c r="K56" s="32"/>
      <c r="L56" s="29"/>
    </row>
    <row r="57" customFormat="false" ht="15" hidden="false" customHeight="true" outlineLevel="0" collapsed="false">
      <c r="A57" s="26"/>
      <c r="B57" s="27"/>
      <c r="C57" s="1" t="str">
        <f aca="false">IF(A59="","",TEXT(A59,"dddd"))</f>
        <v/>
      </c>
      <c r="D57" s="1" t="str">
        <f aca="false">IF(A59="","",TEXT(A59,"MMMM"))</f>
        <v/>
      </c>
      <c r="E57" s="1" t="str">
        <f aca="false">IF(A59="","",YEAR(A59))</f>
        <v/>
      </c>
      <c r="F57" s="29"/>
      <c r="G57" s="30"/>
      <c r="H57" s="29"/>
      <c r="I57" s="29"/>
      <c r="J57" s="29"/>
      <c r="K57" s="32"/>
      <c r="L57" s="29"/>
    </row>
    <row r="58" customFormat="false" ht="15" hidden="false" customHeight="true" outlineLevel="0" collapsed="false">
      <c r="A58" s="26"/>
      <c r="B58" s="27"/>
      <c r="C58" s="1" t="str">
        <f aca="false">IF(A60="","",TEXT(A60,"dddd"))</f>
        <v/>
      </c>
      <c r="D58" s="1" t="str">
        <f aca="false">IF(A60="","",TEXT(A60,"MMMM"))</f>
        <v/>
      </c>
      <c r="E58" s="1" t="str">
        <f aca="false">IF(A60="","",YEAR(A60))</f>
        <v/>
      </c>
      <c r="F58" s="29"/>
      <c r="G58" s="30"/>
      <c r="H58" s="29"/>
      <c r="I58" s="29"/>
      <c r="J58" s="29"/>
      <c r="K58" s="32"/>
      <c r="L58" s="29"/>
    </row>
    <row r="59" customFormat="false" ht="15" hidden="false" customHeight="true" outlineLevel="0" collapsed="false">
      <c r="A59" s="26"/>
      <c r="B59" s="27"/>
      <c r="C59" s="1" t="str">
        <f aca="false">IF(A61="","",TEXT(A61,"dddd"))</f>
        <v/>
      </c>
      <c r="D59" s="1" t="str">
        <f aca="false">IF(A61="","",TEXT(A61,"MMMM"))</f>
        <v/>
      </c>
      <c r="E59" s="1" t="str">
        <f aca="false">IF(A61="","",YEAR(A61))</f>
        <v/>
      </c>
      <c r="F59" s="29"/>
      <c r="G59" s="30"/>
      <c r="H59" s="29"/>
      <c r="I59" s="29"/>
      <c r="J59" s="29"/>
      <c r="K59" s="32"/>
      <c r="L59" s="29"/>
    </row>
    <row r="60" customFormat="false" ht="15" hidden="false" customHeight="true" outlineLevel="0" collapsed="false">
      <c r="A60" s="26"/>
      <c r="B60" s="27"/>
      <c r="C60" s="1" t="str">
        <f aca="false">IF(A62="","",TEXT(A62,"dddd"))</f>
        <v/>
      </c>
      <c r="D60" s="1" t="str">
        <f aca="false">IF(A62="","",TEXT(A62,"MMMM"))</f>
        <v/>
      </c>
      <c r="E60" s="1" t="str">
        <f aca="false">IF(A62="","",YEAR(A62))</f>
        <v/>
      </c>
      <c r="F60" s="29"/>
      <c r="G60" s="30"/>
      <c r="H60" s="29"/>
      <c r="I60" s="29"/>
      <c r="J60" s="29"/>
      <c r="K60" s="32"/>
      <c r="L60" s="29"/>
    </row>
    <row r="61" customFormat="false" ht="15" hidden="false" customHeight="true" outlineLevel="0" collapsed="false">
      <c r="A61" s="26"/>
      <c r="B61" s="27"/>
      <c r="C61" s="1" t="str">
        <f aca="false">IF(A63="","",TEXT(A63,"dddd"))</f>
        <v/>
      </c>
      <c r="D61" s="1" t="str">
        <f aca="false">IF(A63="","",TEXT(A63,"MMMM"))</f>
        <v/>
      </c>
      <c r="E61" s="1" t="str">
        <f aca="false">IF(A63="","",YEAR(A63))</f>
        <v/>
      </c>
      <c r="F61" s="29"/>
      <c r="G61" s="30"/>
      <c r="H61" s="29"/>
      <c r="I61" s="29"/>
      <c r="J61" s="29"/>
      <c r="K61" s="32"/>
      <c r="L61" s="29"/>
    </row>
    <row r="62" customFormat="false" ht="15" hidden="false" customHeight="true" outlineLevel="0" collapsed="false">
      <c r="A62" s="26"/>
      <c r="B62" s="27"/>
      <c r="C62" s="1" t="str">
        <f aca="false">IF(A64="","",TEXT(A64,"dddd"))</f>
        <v/>
      </c>
      <c r="D62" s="1" t="str">
        <f aca="false">IF(A64="","",TEXT(A64,"MMMM"))</f>
        <v/>
      </c>
      <c r="E62" s="1" t="str">
        <f aca="false">IF(A64="","",YEAR(A64))</f>
        <v/>
      </c>
      <c r="F62" s="29"/>
      <c r="G62" s="30"/>
      <c r="H62" s="29"/>
      <c r="I62" s="29"/>
      <c r="J62" s="29"/>
      <c r="K62" s="32"/>
      <c r="L62" s="29"/>
    </row>
    <row r="63" customFormat="false" ht="15" hidden="false" customHeight="true" outlineLevel="0" collapsed="false">
      <c r="A63" s="26"/>
      <c r="B63" s="27"/>
      <c r="C63" s="1" t="str">
        <f aca="false">IF(A65="","",TEXT(A65,"dddd"))</f>
        <v/>
      </c>
      <c r="D63" s="1" t="str">
        <f aca="false">IF(A65="","",TEXT(A65,"MMMM"))</f>
        <v/>
      </c>
      <c r="E63" s="1" t="str">
        <f aca="false">IF(A65="","",YEAR(A65))</f>
        <v/>
      </c>
      <c r="F63" s="29"/>
      <c r="G63" s="30"/>
      <c r="H63" s="29"/>
      <c r="I63" s="29"/>
      <c r="J63" s="29"/>
      <c r="K63" s="32"/>
      <c r="L63" s="29"/>
    </row>
    <row r="64" customFormat="false" ht="15" hidden="false" customHeight="true" outlineLevel="0" collapsed="false">
      <c r="A64" s="26"/>
      <c r="B64" s="27"/>
      <c r="C64" s="1" t="str">
        <f aca="false">IF(A66="","",TEXT(A66,"dddd"))</f>
        <v/>
      </c>
      <c r="D64" s="1" t="str">
        <f aca="false">IF(A66="","",TEXT(A66,"MMMM"))</f>
        <v/>
      </c>
      <c r="E64" s="1" t="str">
        <f aca="false">IF(A66="","",YEAR(A66))</f>
        <v/>
      </c>
      <c r="F64" s="29"/>
      <c r="G64" s="30"/>
      <c r="H64" s="29"/>
      <c r="I64" s="29"/>
      <c r="J64" s="29"/>
      <c r="K64" s="32"/>
      <c r="L64" s="29"/>
    </row>
    <row r="65" customFormat="false" ht="15" hidden="false" customHeight="true" outlineLevel="0" collapsed="false">
      <c r="A65" s="26"/>
      <c r="B65" s="27"/>
      <c r="C65" s="1" t="str">
        <f aca="false">IF(A67="","",TEXT(A67,"dddd"))</f>
        <v/>
      </c>
      <c r="D65" s="1" t="str">
        <f aca="false">IF(A67="","",TEXT(A67,"MMMM"))</f>
        <v/>
      </c>
      <c r="E65" s="1" t="str">
        <f aca="false">IF(A67="","",YEAR(A67))</f>
        <v/>
      </c>
      <c r="F65" s="29"/>
      <c r="G65" s="30"/>
      <c r="H65" s="29"/>
      <c r="I65" s="29"/>
      <c r="J65" s="29"/>
      <c r="K65" s="32"/>
      <c r="L65" s="29"/>
    </row>
    <row r="66" customFormat="false" ht="15" hidden="false" customHeight="true" outlineLevel="0" collapsed="false">
      <c r="A66" s="26"/>
      <c r="B66" s="27"/>
      <c r="C66" s="1" t="str">
        <f aca="false">IF(A68="","",TEXT(A68,"dddd"))</f>
        <v/>
      </c>
      <c r="D66" s="1" t="str">
        <f aca="false">IF(A68="","",TEXT(A68,"MMMM"))</f>
        <v/>
      </c>
      <c r="E66" s="1" t="str">
        <f aca="false">IF(A68="","",YEAR(A68))</f>
        <v/>
      </c>
      <c r="F66" s="29"/>
      <c r="G66" s="30"/>
      <c r="H66" s="29"/>
      <c r="I66" s="29"/>
      <c r="J66" s="29"/>
      <c r="K66" s="32"/>
      <c r="L66" s="29"/>
    </row>
    <row r="67" customFormat="false" ht="15" hidden="false" customHeight="true" outlineLevel="0" collapsed="false">
      <c r="A67" s="26"/>
      <c r="B67" s="27"/>
      <c r="C67" s="1" t="str">
        <f aca="false">IF(A69="","",TEXT(A69,"dddd"))</f>
        <v/>
      </c>
      <c r="D67" s="1" t="str">
        <f aca="false">IF(A69="","",TEXT(A69,"MMMM"))</f>
        <v/>
      </c>
      <c r="E67" s="1" t="str">
        <f aca="false">IF(A69="","",YEAR(A69))</f>
        <v/>
      </c>
      <c r="F67" s="29"/>
      <c r="G67" s="30"/>
      <c r="H67" s="29"/>
      <c r="I67" s="29"/>
      <c r="J67" s="29"/>
      <c r="K67" s="32"/>
      <c r="L67" s="29"/>
    </row>
    <row r="68" customFormat="false" ht="15" hidden="false" customHeight="true" outlineLevel="0" collapsed="false">
      <c r="A68" s="26"/>
      <c r="B68" s="27"/>
      <c r="C68" s="1" t="str">
        <f aca="false">IF(A70="","",TEXT(A70,"dddd"))</f>
        <v/>
      </c>
      <c r="D68" s="1" t="str">
        <f aca="false">IF(A70="","",TEXT(A70,"MMMM"))</f>
        <v/>
      </c>
      <c r="E68" s="1" t="str">
        <f aca="false">IF(A70="","",YEAR(A70))</f>
        <v/>
      </c>
      <c r="F68" s="29"/>
      <c r="G68" s="30"/>
      <c r="H68" s="29"/>
      <c r="I68" s="29"/>
      <c r="J68" s="29"/>
      <c r="K68" s="32"/>
      <c r="L68" s="29"/>
    </row>
    <row r="69" customFormat="false" ht="15" hidden="false" customHeight="true" outlineLevel="0" collapsed="false">
      <c r="A69" s="26"/>
      <c r="B69" s="27"/>
      <c r="C69" s="1" t="str">
        <f aca="false">IF(A71="","",TEXT(A71,"dddd"))</f>
        <v/>
      </c>
      <c r="D69" s="1" t="str">
        <f aca="false">IF(A71="","",TEXT(A71,"MMMM"))</f>
        <v/>
      </c>
      <c r="E69" s="1" t="str">
        <f aca="false">IF(A71="","",YEAR(A71))</f>
        <v/>
      </c>
      <c r="F69" s="29"/>
      <c r="G69" s="30"/>
      <c r="H69" s="29"/>
      <c r="I69" s="29"/>
      <c r="J69" s="29"/>
      <c r="K69" s="32"/>
      <c r="L69" s="29"/>
    </row>
    <row r="70" customFormat="false" ht="15" hidden="false" customHeight="true" outlineLevel="0" collapsed="false">
      <c r="A70" s="26"/>
      <c r="B70" s="27"/>
      <c r="C70" s="1" t="str">
        <f aca="false">IF(A72="","",TEXT(A72,"dddd"))</f>
        <v/>
      </c>
      <c r="D70" s="1" t="str">
        <f aca="false">IF(A72="","",TEXT(A72,"MMMM"))</f>
        <v/>
      </c>
      <c r="E70" s="1" t="str">
        <f aca="false">IF(A72="","",YEAR(A72))</f>
        <v/>
      </c>
      <c r="F70" s="29"/>
      <c r="G70" s="30"/>
      <c r="H70" s="29"/>
      <c r="I70" s="29"/>
      <c r="J70" s="29"/>
      <c r="K70" s="32"/>
      <c r="L70" s="29"/>
    </row>
    <row r="71" customFormat="false" ht="15" hidden="false" customHeight="true" outlineLevel="0" collapsed="false">
      <c r="A71" s="26"/>
      <c r="B71" s="27"/>
      <c r="C71" s="1" t="str">
        <f aca="false">IF(A73="","",TEXT(A73,"dddd"))</f>
        <v/>
      </c>
      <c r="D71" s="1" t="str">
        <f aca="false">IF(A73="","",TEXT(A73,"MMMM"))</f>
        <v/>
      </c>
      <c r="E71" s="1" t="str">
        <f aca="false">IF(A73="","",YEAR(A73))</f>
        <v/>
      </c>
      <c r="F71" s="29"/>
      <c r="G71" s="30"/>
      <c r="H71" s="29"/>
      <c r="I71" s="29"/>
      <c r="J71" s="29"/>
      <c r="K71" s="32"/>
      <c r="L71" s="29"/>
    </row>
    <row r="72" customFormat="false" ht="15" hidden="false" customHeight="true" outlineLevel="0" collapsed="false">
      <c r="A72" s="26"/>
      <c r="B72" s="27"/>
      <c r="C72" s="1" t="str">
        <f aca="false">IF(A74="","",TEXT(A74,"dddd"))</f>
        <v/>
      </c>
      <c r="D72" s="1" t="str">
        <f aca="false">IF(A74="","",TEXT(A74,"MMMM"))</f>
        <v/>
      </c>
      <c r="E72" s="1" t="str">
        <f aca="false">IF(A74="","",YEAR(A74))</f>
        <v/>
      </c>
      <c r="F72" s="29"/>
      <c r="G72" s="30"/>
      <c r="H72" s="29"/>
      <c r="I72" s="29"/>
      <c r="J72" s="29"/>
      <c r="K72" s="32"/>
      <c r="L72" s="29"/>
    </row>
    <row r="73" customFormat="false" ht="15" hidden="false" customHeight="true" outlineLevel="0" collapsed="false">
      <c r="A73" s="26"/>
      <c r="B73" s="27"/>
      <c r="C73" s="1" t="str">
        <f aca="false">IF(A75="","",TEXT(A75,"dddd"))</f>
        <v/>
      </c>
      <c r="D73" s="1" t="str">
        <f aca="false">IF(A75="","",TEXT(A75,"MMMM"))</f>
        <v/>
      </c>
      <c r="E73" s="1" t="str">
        <f aca="false">IF(A75="","",YEAR(A75))</f>
        <v/>
      </c>
      <c r="F73" s="29"/>
      <c r="G73" s="30"/>
      <c r="H73" s="29"/>
      <c r="I73" s="29"/>
      <c r="J73" s="29"/>
      <c r="K73" s="32"/>
      <c r="L73" s="29"/>
    </row>
    <row r="74" customFormat="false" ht="15" hidden="false" customHeight="true" outlineLevel="0" collapsed="false">
      <c r="A74" s="26"/>
      <c r="B74" s="27"/>
      <c r="C74" s="1" t="str">
        <f aca="false">IF(A76="","",TEXT(A76,"dddd"))</f>
        <v/>
      </c>
      <c r="D74" s="1" t="str">
        <f aca="false">IF(A76="","",TEXT(A76,"MMMM"))</f>
        <v/>
      </c>
      <c r="E74" s="1" t="str">
        <f aca="false">IF(A76="","",YEAR(A76))</f>
        <v/>
      </c>
      <c r="F74" s="29"/>
      <c r="G74" s="30"/>
      <c r="H74" s="29"/>
      <c r="I74" s="29"/>
      <c r="J74" s="29"/>
      <c r="K74" s="32"/>
      <c r="L74" s="29"/>
    </row>
    <row r="75" customFormat="false" ht="15" hidden="false" customHeight="true" outlineLevel="0" collapsed="false">
      <c r="A75" s="26"/>
      <c r="B75" s="27"/>
      <c r="C75" s="1" t="str">
        <f aca="false">IF(A77="","",TEXT(A77,"dddd"))</f>
        <v/>
      </c>
      <c r="D75" s="1" t="str">
        <f aca="false">IF(A77="","",TEXT(A77,"MMMM"))</f>
        <v/>
      </c>
      <c r="E75" s="1" t="str">
        <f aca="false">IF(A77="","",YEAR(A77))</f>
        <v/>
      </c>
      <c r="F75" s="29"/>
      <c r="G75" s="30"/>
      <c r="H75" s="29"/>
      <c r="I75" s="29"/>
      <c r="J75" s="29"/>
      <c r="K75" s="32"/>
      <c r="L75" s="29"/>
    </row>
    <row r="76" customFormat="false" ht="15" hidden="false" customHeight="true" outlineLevel="0" collapsed="false">
      <c r="A76" s="26"/>
      <c r="B76" s="27"/>
      <c r="C76" s="1" t="str">
        <f aca="false">IF(A78="","",TEXT(A78,"dddd"))</f>
        <v/>
      </c>
      <c r="D76" s="1" t="str">
        <f aca="false">IF(A78="","",TEXT(A78,"MMMM"))</f>
        <v/>
      </c>
      <c r="E76" s="1" t="str">
        <f aca="false">IF(A78="","",YEAR(A78))</f>
        <v/>
      </c>
      <c r="F76" s="29"/>
      <c r="G76" s="30"/>
      <c r="H76" s="29"/>
      <c r="I76" s="29"/>
      <c r="J76" s="29"/>
      <c r="K76" s="32"/>
      <c r="L76" s="29"/>
    </row>
    <row r="77" customFormat="false" ht="15" hidden="false" customHeight="true" outlineLevel="0" collapsed="false">
      <c r="A77" s="26"/>
      <c r="B77" s="27"/>
      <c r="C77" s="1" t="str">
        <f aca="false">IF(A79="","",TEXT(A79,"dddd"))</f>
        <v/>
      </c>
      <c r="D77" s="1" t="str">
        <f aca="false">IF(A79="","",TEXT(A79,"MMMM"))</f>
        <v/>
      </c>
      <c r="E77" s="1" t="str">
        <f aca="false">IF(A79="","",YEAR(A79))</f>
        <v/>
      </c>
      <c r="F77" s="29"/>
      <c r="G77" s="30"/>
      <c r="H77" s="29"/>
      <c r="I77" s="29"/>
      <c r="J77" s="29"/>
      <c r="K77" s="32"/>
      <c r="L77" s="29"/>
    </row>
    <row r="78" customFormat="false" ht="15" hidden="false" customHeight="true" outlineLevel="0" collapsed="false">
      <c r="A78" s="26"/>
      <c r="B78" s="27"/>
      <c r="C78" s="1" t="str">
        <f aca="false">IF(A80="","",TEXT(A80,"dddd"))</f>
        <v/>
      </c>
      <c r="D78" s="1" t="str">
        <f aca="false">IF(A80="","",TEXT(A80,"MMMM"))</f>
        <v/>
      </c>
      <c r="E78" s="1" t="str">
        <f aca="false">IF(A80="","",YEAR(A80))</f>
        <v/>
      </c>
      <c r="F78" s="29"/>
      <c r="G78" s="30"/>
      <c r="H78" s="29"/>
      <c r="I78" s="29"/>
      <c r="J78" s="29"/>
      <c r="K78" s="32"/>
      <c r="L78" s="29"/>
    </row>
    <row r="79" customFormat="false" ht="15" hidden="false" customHeight="true" outlineLevel="0" collapsed="false">
      <c r="A79" s="26"/>
      <c r="B79" s="27"/>
      <c r="C79" s="1" t="str">
        <f aca="false">IF(A81="","",TEXT(A81,"dddd"))</f>
        <v/>
      </c>
      <c r="D79" s="1" t="str">
        <f aca="false">IF(A81="","",TEXT(A81,"MMMM"))</f>
        <v/>
      </c>
      <c r="E79" s="1" t="str">
        <f aca="false">IF(A81="","",YEAR(A81))</f>
        <v/>
      </c>
      <c r="F79" s="29"/>
      <c r="G79" s="30"/>
      <c r="H79" s="29"/>
      <c r="I79" s="29"/>
      <c r="J79" s="29"/>
      <c r="K79" s="32"/>
      <c r="L79" s="29"/>
    </row>
    <row r="80" customFormat="false" ht="15" hidden="false" customHeight="true" outlineLevel="0" collapsed="false">
      <c r="A80" s="26"/>
      <c r="B80" s="27"/>
      <c r="C80" s="1" t="str">
        <f aca="false">IF(A82="","",TEXT(A82,"dddd"))</f>
        <v/>
      </c>
      <c r="D80" s="1" t="str">
        <f aca="false">IF(A82="","",TEXT(A82,"MMMM"))</f>
        <v/>
      </c>
      <c r="E80" s="1" t="str">
        <f aca="false">IF(A82="","",YEAR(A82))</f>
        <v/>
      </c>
      <c r="F80" s="29"/>
      <c r="G80" s="30"/>
      <c r="H80" s="29"/>
      <c r="I80" s="29"/>
      <c r="J80" s="29"/>
      <c r="K80" s="32"/>
      <c r="L80" s="29"/>
    </row>
    <row r="81" customFormat="false" ht="15" hidden="false" customHeight="true" outlineLevel="0" collapsed="false">
      <c r="A81" s="26"/>
      <c r="B81" s="27"/>
      <c r="C81" s="1" t="str">
        <f aca="false">IF(A83="","",TEXT(A83,"dddd"))</f>
        <v/>
      </c>
      <c r="D81" s="1" t="str">
        <f aca="false">IF(A83="","",TEXT(A83,"MMMM"))</f>
        <v/>
      </c>
      <c r="E81" s="1" t="str">
        <f aca="false">IF(A83="","",YEAR(A83))</f>
        <v/>
      </c>
      <c r="F81" s="29"/>
      <c r="G81" s="30"/>
      <c r="H81" s="29"/>
      <c r="I81" s="29"/>
      <c r="J81" s="29"/>
      <c r="K81" s="32"/>
      <c r="L81" s="29"/>
    </row>
    <row r="82" customFormat="false" ht="15" hidden="false" customHeight="true" outlineLevel="0" collapsed="false">
      <c r="A82" s="26"/>
      <c r="B82" s="27"/>
      <c r="C82" s="1" t="str">
        <f aca="false">IF(A84="","",TEXT(A84,"dddd"))</f>
        <v/>
      </c>
      <c r="D82" s="1" t="str">
        <f aca="false">IF(A84="","",TEXT(A84,"MMMM"))</f>
        <v/>
      </c>
      <c r="E82" s="1" t="str">
        <f aca="false">IF(A84="","",YEAR(A84))</f>
        <v/>
      </c>
      <c r="F82" s="29"/>
      <c r="G82" s="30"/>
      <c r="H82" s="29"/>
      <c r="I82" s="29"/>
      <c r="J82" s="29"/>
      <c r="K82" s="32"/>
      <c r="L82" s="29"/>
    </row>
    <row r="83" customFormat="false" ht="15" hidden="false" customHeight="true" outlineLevel="0" collapsed="false">
      <c r="A83" s="26"/>
      <c r="B83" s="27"/>
      <c r="C83" s="1" t="str">
        <f aca="false">IF(A85="","",TEXT(A85,"dddd"))</f>
        <v/>
      </c>
      <c r="D83" s="1" t="str">
        <f aca="false">IF(A85="","",TEXT(A85,"MMMM"))</f>
        <v/>
      </c>
      <c r="E83" s="1" t="str">
        <f aca="false">IF(A85="","",YEAR(A85))</f>
        <v/>
      </c>
      <c r="F83" s="29"/>
      <c r="G83" s="30"/>
      <c r="H83" s="29"/>
      <c r="I83" s="29"/>
      <c r="J83" s="29"/>
      <c r="K83" s="32"/>
      <c r="L83" s="29"/>
    </row>
    <row r="84" customFormat="false" ht="15" hidden="false" customHeight="true" outlineLevel="0" collapsed="false">
      <c r="A84" s="26"/>
      <c r="B84" s="27"/>
      <c r="C84" s="1" t="str">
        <f aca="false">IF(A86="","",TEXT(A86,"dddd"))</f>
        <v/>
      </c>
      <c r="D84" s="1" t="str">
        <f aca="false">IF(A86="","",TEXT(A86,"MMMM"))</f>
        <v/>
      </c>
      <c r="E84" s="1" t="str">
        <f aca="false">IF(A86="","",YEAR(A86))</f>
        <v/>
      </c>
      <c r="F84" s="29"/>
      <c r="G84" s="30"/>
      <c r="H84" s="29"/>
      <c r="I84" s="29"/>
      <c r="J84" s="29"/>
      <c r="K84" s="32"/>
      <c r="L84" s="29"/>
    </row>
    <row r="85" customFormat="false" ht="15" hidden="false" customHeight="true" outlineLevel="0" collapsed="false">
      <c r="A85" s="26"/>
      <c r="B85" s="27"/>
      <c r="C85" s="1" t="str">
        <f aca="false">IF(A87="","",TEXT(A87,"dddd"))</f>
        <v/>
      </c>
      <c r="D85" s="1" t="str">
        <f aca="false">IF(A87="","",TEXT(A87,"MMMM"))</f>
        <v/>
      </c>
      <c r="E85" s="1" t="str">
        <f aca="false">IF(A87="","",YEAR(A87))</f>
        <v/>
      </c>
      <c r="F85" s="29"/>
      <c r="G85" s="30"/>
      <c r="H85" s="29"/>
      <c r="I85" s="29"/>
      <c r="J85" s="29"/>
      <c r="K85" s="32"/>
      <c r="L85" s="29"/>
    </row>
    <row r="86" customFormat="false" ht="15" hidden="false" customHeight="true" outlineLevel="0" collapsed="false">
      <c r="A86" s="26"/>
      <c r="B86" s="27"/>
      <c r="C86" s="1" t="str">
        <f aca="false">IF(A88="","",TEXT(A88,"dddd"))</f>
        <v/>
      </c>
      <c r="D86" s="1" t="str">
        <f aca="false">IF(A88="","",TEXT(A88,"MMMM"))</f>
        <v/>
      </c>
      <c r="E86" s="1" t="str">
        <f aca="false">IF(A88="","",YEAR(A88))</f>
        <v/>
      </c>
      <c r="F86" s="29"/>
      <c r="G86" s="30"/>
      <c r="H86" s="29"/>
      <c r="I86" s="29"/>
      <c r="J86" s="29"/>
      <c r="K86" s="32"/>
      <c r="L86" s="29"/>
    </row>
    <row r="87" customFormat="false" ht="15" hidden="false" customHeight="true" outlineLevel="0" collapsed="false">
      <c r="A87" s="26"/>
      <c r="B87" s="27"/>
      <c r="C87" s="1" t="str">
        <f aca="false">IF(A89="","",TEXT(A89,"dddd"))</f>
        <v/>
      </c>
      <c r="D87" s="1" t="str">
        <f aca="false">IF(A89="","",TEXT(A89,"MMMM"))</f>
        <v/>
      </c>
      <c r="E87" s="1" t="str">
        <f aca="false">IF(A89="","",YEAR(A89))</f>
        <v/>
      </c>
      <c r="F87" s="29"/>
      <c r="G87" s="30"/>
      <c r="H87" s="29"/>
      <c r="I87" s="29"/>
      <c r="J87" s="29"/>
      <c r="K87" s="32"/>
      <c r="L87" s="29"/>
    </row>
    <row r="88" customFormat="false" ht="15" hidden="false" customHeight="true" outlineLevel="0" collapsed="false">
      <c r="A88" s="26"/>
      <c r="B88" s="27"/>
      <c r="C88" s="1" t="str">
        <f aca="false">IF(A90="","",TEXT(A90,"dddd"))</f>
        <v/>
      </c>
      <c r="D88" s="1" t="str">
        <f aca="false">IF(A90="","",TEXT(A90,"MMMM"))</f>
        <v/>
      </c>
      <c r="E88" s="1" t="str">
        <f aca="false">IF(A90="","",YEAR(A90))</f>
        <v/>
      </c>
      <c r="F88" s="29"/>
      <c r="G88" s="30"/>
      <c r="H88" s="29"/>
      <c r="I88" s="29"/>
      <c r="J88" s="29"/>
      <c r="K88" s="32"/>
      <c r="L88" s="29"/>
    </row>
    <row r="89" customFormat="false" ht="15" hidden="false" customHeight="true" outlineLevel="0" collapsed="false">
      <c r="A89" s="26"/>
      <c r="B89" s="27"/>
      <c r="C89" s="1" t="str">
        <f aca="false">IF(A91="","",TEXT(A91,"dddd"))</f>
        <v/>
      </c>
      <c r="D89" s="1" t="str">
        <f aca="false">IF(A91="","",TEXT(A91,"MMMM"))</f>
        <v/>
      </c>
      <c r="E89" s="1" t="str">
        <f aca="false">IF(A91="","",YEAR(A91))</f>
        <v/>
      </c>
      <c r="F89" s="29"/>
      <c r="G89" s="30"/>
      <c r="H89" s="29"/>
      <c r="I89" s="29"/>
      <c r="J89" s="29"/>
      <c r="K89" s="32"/>
      <c r="L89" s="29"/>
    </row>
    <row r="90" customFormat="false" ht="15" hidden="false" customHeight="true" outlineLevel="0" collapsed="false">
      <c r="A90" s="26"/>
      <c r="B90" s="27"/>
      <c r="C90" s="1" t="str">
        <f aca="false">IF(A92="","",TEXT(A92,"dddd"))</f>
        <v/>
      </c>
      <c r="D90" s="1" t="str">
        <f aca="false">IF(A92="","",TEXT(A92,"MMMM"))</f>
        <v/>
      </c>
      <c r="E90" s="1" t="str">
        <f aca="false">IF(A92="","",YEAR(A92))</f>
        <v/>
      </c>
      <c r="F90" s="29"/>
      <c r="G90" s="30"/>
      <c r="H90" s="29"/>
      <c r="I90" s="29"/>
      <c r="J90" s="29"/>
      <c r="K90" s="32"/>
      <c r="L90" s="29"/>
    </row>
    <row r="91" customFormat="false" ht="15" hidden="false" customHeight="true" outlineLevel="0" collapsed="false">
      <c r="A91" s="26"/>
      <c r="B91" s="27"/>
      <c r="C91" s="1" t="str">
        <f aca="false">IF(A93="","",TEXT(A93,"dddd"))</f>
        <v/>
      </c>
      <c r="D91" s="1" t="str">
        <f aca="false">IF(A93="","",TEXT(A93,"MMMM"))</f>
        <v/>
      </c>
      <c r="E91" s="1" t="str">
        <f aca="false">IF(A93="","",YEAR(A93))</f>
        <v/>
      </c>
      <c r="F91" s="29"/>
      <c r="G91" s="30"/>
      <c r="H91" s="29"/>
      <c r="I91" s="29"/>
      <c r="J91" s="29"/>
      <c r="K91" s="32"/>
      <c r="L91" s="29"/>
    </row>
    <row r="92" customFormat="false" ht="15" hidden="false" customHeight="true" outlineLevel="0" collapsed="false">
      <c r="A92" s="26"/>
      <c r="B92" s="27"/>
      <c r="C92" s="1" t="str">
        <f aca="false">IF(A94="","",TEXT(A94,"dddd"))</f>
        <v/>
      </c>
      <c r="D92" s="1" t="str">
        <f aca="false">IF(A94="","",TEXT(A94,"MMMM"))</f>
        <v/>
      </c>
      <c r="E92" s="1" t="str">
        <f aca="false">IF(A94="","",YEAR(A94))</f>
        <v/>
      </c>
      <c r="F92" s="29"/>
      <c r="G92" s="30"/>
      <c r="H92" s="29"/>
      <c r="I92" s="29"/>
      <c r="J92" s="29"/>
      <c r="K92" s="32"/>
      <c r="L92" s="29"/>
    </row>
    <row r="93" customFormat="false" ht="15" hidden="false" customHeight="true" outlineLevel="0" collapsed="false">
      <c r="A93" s="26"/>
      <c r="B93" s="27"/>
      <c r="C93" s="1" t="str">
        <f aca="false">IF(A95="","",TEXT(A95,"dddd"))</f>
        <v/>
      </c>
      <c r="D93" s="1" t="str">
        <f aca="false">IF(A95="","",TEXT(A95,"MMMM"))</f>
        <v/>
      </c>
      <c r="E93" s="1" t="str">
        <f aca="false">IF(A95="","",YEAR(A95))</f>
        <v/>
      </c>
      <c r="F93" s="29"/>
      <c r="G93" s="30"/>
      <c r="H93" s="29"/>
      <c r="I93" s="29"/>
      <c r="J93" s="29"/>
      <c r="K93" s="32"/>
      <c r="L93" s="29"/>
    </row>
    <row r="94" customFormat="false" ht="15" hidden="false" customHeight="true" outlineLevel="0" collapsed="false">
      <c r="A94" s="26"/>
      <c r="B94" s="27"/>
      <c r="C94" s="1" t="str">
        <f aca="false">IF(A96="","",TEXT(A96,"dddd"))</f>
        <v/>
      </c>
      <c r="D94" s="1" t="str">
        <f aca="false">IF(A96="","",TEXT(A96,"MMMM"))</f>
        <v/>
      </c>
      <c r="E94" s="1" t="str">
        <f aca="false">IF(A96="","",YEAR(A96))</f>
        <v/>
      </c>
      <c r="F94" s="29"/>
      <c r="G94" s="30"/>
      <c r="H94" s="29"/>
      <c r="I94" s="29"/>
      <c r="J94" s="29"/>
      <c r="K94" s="32"/>
      <c r="L94" s="29"/>
    </row>
    <row r="95" customFormat="false" ht="15" hidden="false" customHeight="true" outlineLevel="0" collapsed="false">
      <c r="A95" s="26"/>
      <c r="B95" s="27"/>
      <c r="C95" s="1" t="str">
        <f aca="false">IF(A97="","",TEXT(A97,"dddd"))</f>
        <v/>
      </c>
      <c r="D95" s="1" t="str">
        <f aca="false">IF(A97="","",TEXT(A97,"MMMM"))</f>
        <v/>
      </c>
      <c r="E95" s="1" t="str">
        <f aca="false">IF(A97="","",YEAR(A97))</f>
        <v/>
      </c>
      <c r="F95" s="29"/>
      <c r="G95" s="30"/>
      <c r="H95" s="29"/>
      <c r="I95" s="29"/>
      <c r="J95" s="29"/>
      <c r="K95" s="32"/>
      <c r="L95" s="29"/>
    </row>
    <row r="96" customFormat="false" ht="15" hidden="false" customHeight="true" outlineLevel="0" collapsed="false">
      <c r="A96" s="26"/>
      <c r="B96" s="27"/>
      <c r="C96" s="1" t="str">
        <f aca="false">IF(A98="","",TEXT(A98,"dddd"))</f>
        <v/>
      </c>
      <c r="D96" s="1" t="str">
        <f aca="false">IF(A98="","",TEXT(A98,"MMMM"))</f>
        <v/>
      </c>
      <c r="E96" s="1" t="str">
        <f aca="false">IF(A98="","",YEAR(A98))</f>
        <v/>
      </c>
      <c r="F96" s="29"/>
      <c r="G96" s="30"/>
      <c r="H96" s="29"/>
      <c r="I96" s="29"/>
      <c r="J96" s="29"/>
      <c r="K96" s="32"/>
      <c r="L96" s="29"/>
    </row>
    <row r="97" customFormat="false" ht="15" hidden="false" customHeight="true" outlineLevel="0" collapsed="false">
      <c r="A97" s="26"/>
      <c r="B97" s="27"/>
      <c r="C97" s="1" t="str">
        <f aca="false">IF(A99="","",TEXT(A99,"dddd"))</f>
        <v/>
      </c>
      <c r="D97" s="1" t="str">
        <f aca="false">IF(A99="","",TEXT(A99,"MMMM"))</f>
        <v/>
      </c>
      <c r="E97" s="1" t="str">
        <f aca="false">IF(A99="","",YEAR(A99))</f>
        <v/>
      </c>
      <c r="F97" s="29"/>
      <c r="G97" s="30"/>
      <c r="H97" s="29"/>
      <c r="I97" s="29"/>
      <c r="J97" s="29"/>
      <c r="K97" s="32"/>
      <c r="L97" s="29"/>
    </row>
    <row r="98" customFormat="false" ht="15" hidden="false" customHeight="true" outlineLevel="0" collapsed="false">
      <c r="A98" s="26"/>
      <c r="B98" s="27"/>
      <c r="C98" s="1" t="str">
        <f aca="false">IF(A100="","",TEXT(A100,"dddd"))</f>
        <v/>
      </c>
      <c r="D98" s="1" t="str">
        <f aca="false">IF(A100="","",TEXT(A100,"MMMM"))</f>
        <v/>
      </c>
      <c r="E98" s="1" t="str">
        <f aca="false">IF(A100="","",YEAR(A100))</f>
        <v/>
      </c>
      <c r="F98" s="29"/>
      <c r="G98" s="30"/>
      <c r="H98" s="29"/>
      <c r="I98" s="29"/>
      <c r="J98" s="29"/>
      <c r="K98" s="32"/>
      <c r="L98" s="29"/>
    </row>
    <row r="99" customFormat="false" ht="15" hidden="false" customHeight="true" outlineLevel="0" collapsed="false">
      <c r="A99" s="26"/>
      <c r="B99" s="27"/>
      <c r="C99" s="1" t="str">
        <f aca="false">IF(A101="","",TEXT(A101,"dddd"))</f>
        <v/>
      </c>
      <c r="D99" s="1" t="str">
        <f aca="false">IF(A101="","",TEXT(A101,"MMMM"))</f>
        <v/>
      </c>
      <c r="E99" s="1" t="str">
        <f aca="false">IF(A101="","",YEAR(A101))</f>
        <v/>
      </c>
      <c r="F99" s="29"/>
      <c r="G99" s="30"/>
      <c r="H99" s="29"/>
      <c r="I99" s="29"/>
      <c r="J99" s="29"/>
      <c r="K99" s="32"/>
      <c r="L99" s="29"/>
    </row>
    <row r="100" customFormat="false" ht="15" hidden="false" customHeight="true" outlineLevel="0" collapsed="false">
      <c r="A100" s="26"/>
      <c r="B100" s="27"/>
      <c r="C100" s="1" t="str">
        <f aca="false">IF(A102="","",TEXT(A102,"dddd"))</f>
        <v/>
      </c>
      <c r="D100" s="1" t="str">
        <f aca="false">IF(A102="","",TEXT(A102,"MMMM"))</f>
        <v/>
      </c>
      <c r="E100" s="1" t="str">
        <f aca="false">IF(A102="","",YEAR(A102))</f>
        <v/>
      </c>
      <c r="F100" s="29"/>
      <c r="G100" s="30"/>
      <c r="H100" s="29"/>
      <c r="I100" s="29"/>
      <c r="J100" s="29"/>
      <c r="K100" s="32"/>
      <c r="L100" s="29"/>
    </row>
    <row r="101" customFormat="false" ht="15" hidden="false" customHeight="true" outlineLevel="0" collapsed="false">
      <c r="A101" s="26"/>
      <c r="B101" s="27"/>
      <c r="C101" s="1" t="str">
        <f aca="false">IF(A103="","",TEXT(A103,"dddd"))</f>
        <v/>
      </c>
      <c r="D101" s="1" t="str">
        <f aca="false">IF(A103="","",TEXT(A103,"MMMM"))</f>
        <v/>
      </c>
      <c r="E101" s="1" t="str">
        <f aca="false">IF(A103="","",YEAR(A103))</f>
        <v/>
      </c>
      <c r="F101" s="29"/>
      <c r="G101" s="30"/>
      <c r="H101" s="29"/>
      <c r="I101" s="29"/>
      <c r="J101" s="29"/>
      <c r="K101" s="32"/>
      <c r="L101" s="29"/>
    </row>
    <row r="102" customFormat="false" ht="15" hidden="false" customHeight="true" outlineLevel="0" collapsed="false">
      <c r="A102" s="26"/>
      <c r="B102" s="27"/>
      <c r="C102" s="1" t="str">
        <f aca="false">IF(A104="","",TEXT(A104,"dddd"))</f>
        <v/>
      </c>
      <c r="D102" s="1" t="str">
        <f aca="false">IF(A104="","",TEXT(A104,"MMMM"))</f>
        <v/>
      </c>
      <c r="E102" s="1" t="str">
        <f aca="false">IF(A104="","",YEAR(A104))</f>
        <v/>
      </c>
      <c r="F102" s="29"/>
      <c r="G102" s="30"/>
      <c r="H102" s="29"/>
      <c r="I102" s="29"/>
      <c r="J102" s="29"/>
      <c r="K102" s="32"/>
      <c r="L102" s="29"/>
    </row>
    <row r="103" customFormat="false" ht="15" hidden="false" customHeight="true" outlineLevel="0" collapsed="false">
      <c r="A103" s="26"/>
      <c r="B103" s="27"/>
      <c r="C103" s="1" t="str">
        <f aca="false">IF(A105="","",TEXT(A105,"dddd"))</f>
        <v/>
      </c>
      <c r="D103" s="1" t="str">
        <f aca="false">IF(A105="","",TEXT(A105,"MMMM"))</f>
        <v/>
      </c>
      <c r="E103" s="1" t="str">
        <f aca="false">IF(A105="","",YEAR(A105))</f>
        <v/>
      </c>
      <c r="F103" s="29"/>
      <c r="G103" s="30"/>
      <c r="H103" s="29"/>
      <c r="I103" s="29"/>
      <c r="J103" s="29"/>
      <c r="K103" s="32"/>
      <c r="L103" s="29"/>
    </row>
    <row r="104" customFormat="false" ht="15" hidden="false" customHeight="true" outlineLevel="0" collapsed="false">
      <c r="A104" s="26"/>
      <c r="B104" s="27"/>
      <c r="C104" s="1" t="str">
        <f aca="false">IF(A106="","",TEXT(A106,"dddd"))</f>
        <v/>
      </c>
      <c r="D104" s="1" t="str">
        <f aca="false">IF(A106="","",TEXT(A106,"MMMM"))</f>
        <v/>
      </c>
      <c r="E104" s="1" t="str">
        <f aca="false">IF(A106="","",YEAR(A106))</f>
        <v/>
      </c>
      <c r="F104" s="29"/>
      <c r="G104" s="30"/>
      <c r="H104" s="29"/>
      <c r="I104" s="29"/>
      <c r="J104" s="29"/>
      <c r="K104" s="32"/>
      <c r="L104" s="29"/>
    </row>
    <row r="105" customFormat="false" ht="15" hidden="false" customHeight="true" outlineLevel="0" collapsed="false">
      <c r="A105" s="26"/>
      <c r="B105" s="27"/>
      <c r="C105" s="1" t="str">
        <f aca="false">IF(A107="","",TEXT(A107,"dddd"))</f>
        <v/>
      </c>
      <c r="D105" s="1" t="str">
        <f aca="false">IF(A107="","",TEXT(A107,"MMMM"))</f>
        <v/>
      </c>
      <c r="E105" s="1" t="str">
        <f aca="false">IF(A107="","",YEAR(A107))</f>
        <v/>
      </c>
      <c r="F105" s="29"/>
      <c r="G105" s="30"/>
      <c r="H105" s="29"/>
      <c r="I105" s="29"/>
      <c r="J105" s="29"/>
      <c r="K105" s="32"/>
      <c r="L105" s="29"/>
    </row>
    <row r="106" customFormat="false" ht="15" hidden="false" customHeight="true" outlineLevel="0" collapsed="false">
      <c r="A106" s="26"/>
      <c r="B106" s="27"/>
      <c r="C106" s="1" t="str">
        <f aca="false">IF(A108="","",TEXT(A108,"dddd"))</f>
        <v/>
      </c>
      <c r="D106" s="1" t="str">
        <f aca="false">IF(A108="","",TEXT(A108,"MMMM"))</f>
        <v/>
      </c>
      <c r="E106" s="1" t="str">
        <f aca="false">IF(A108="","",YEAR(A108))</f>
        <v/>
      </c>
      <c r="F106" s="29"/>
      <c r="G106" s="30"/>
      <c r="H106" s="29"/>
      <c r="I106" s="29"/>
      <c r="J106" s="29"/>
      <c r="K106" s="32"/>
      <c r="L106" s="29"/>
    </row>
    <row r="107" customFormat="false" ht="15" hidden="false" customHeight="true" outlineLevel="0" collapsed="false">
      <c r="A107" s="26"/>
      <c r="B107" s="27"/>
      <c r="C107" s="1" t="str">
        <f aca="false">IF(A109="","",TEXT(A109,"dddd"))</f>
        <v/>
      </c>
      <c r="D107" s="1" t="str">
        <f aca="false">IF(A109="","",TEXT(A109,"MMMM"))</f>
        <v/>
      </c>
      <c r="E107" s="1" t="str">
        <f aca="false">IF(A109="","",YEAR(A109))</f>
        <v/>
      </c>
      <c r="F107" s="29"/>
      <c r="G107" s="30"/>
      <c r="H107" s="29"/>
      <c r="I107" s="29"/>
      <c r="J107" s="29"/>
      <c r="K107" s="32"/>
      <c r="L107" s="29"/>
    </row>
    <row r="108" customFormat="false" ht="15" hidden="false" customHeight="true" outlineLevel="0" collapsed="false">
      <c r="A108" s="26"/>
      <c r="B108" s="27"/>
      <c r="C108" s="1" t="str">
        <f aca="false">IF(A110="","",TEXT(A110,"dddd"))</f>
        <v/>
      </c>
      <c r="D108" s="1" t="str">
        <f aca="false">IF(A110="","",TEXT(A110,"MMMM"))</f>
        <v/>
      </c>
      <c r="E108" s="1" t="str">
        <f aca="false">IF(A110="","",YEAR(A110))</f>
        <v/>
      </c>
      <c r="F108" s="29"/>
      <c r="G108" s="30"/>
      <c r="H108" s="29"/>
      <c r="I108" s="29"/>
      <c r="J108" s="29"/>
      <c r="K108" s="32"/>
      <c r="L108" s="29"/>
    </row>
    <row r="109" customFormat="false" ht="15" hidden="false" customHeight="true" outlineLevel="0" collapsed="false">
      <c r="A109" s="26"/>
      <c r="B109" s="27"/>
      <c r="C109" s="1" t="str">
        <f aca="false">IF(A111="","",TEXT(A111,"dddd"))</f>
        <v/>
      </c>
      <c r="D109" s="1" t="str">
        <f aca="false">IF(A111="","",TEXT(A111,"MMMM"))</f>
        <v/>
      </c>
      <c r="E109" s="1" t="str">
        <f aca="false">IF(A111="","",YEAR(A111))</f>
        <v/>
      </c>
      <c r="F109" s="29"/>
      <c r="G109" s="30"/>
      <c r="H109" s="29"/>
      <c r="I109" s="29"/>
      <c r="J109" s="29"/>
      <c r="K109" s="32"/>
      <c r="L109" s="29"/>
    </row>
    <row r="110" customFormat="false" ht="15" hidden="false" customHeight="true" outlineLevel="0" collapsed="false">
      <c r="A110" s="26"/>
      <c r="B110" s="27"/>
      <c r="C110" s="1" t="str">
        <f aca="false">IF(A112="","",TEXT(A112,"dddd"))</f>
        <v/>
      </c>
      <c r="D110" s="1" t="str">
        <f aca="false">IF(A112="","",TEXT(A112,"MMMM"))</f>
        <v/>
      </c>
      <c r="E110" s="1" t="str">
        <f aca="false">IF(A112="","",YEAR(A112))</f>
        <v/>
      </c>
      <c r="F110" s="29"/>
      <c r="G110" s="30"/>
      <c r="H110" s="29"/>
      <c r="I110" s="29"/>
      <c r="J110" s="29"/>
      <c r="K110" s="32"/>
      <c r="L110" s="29"/>
    </row>
    <row r="111" customFormat="false" ht="15" hidden="false" customHeight="true" outlineLevel="0" collapsed="false">
      <c r="A111" s="26"/>
      <c r="B111" s="27"/>
      <c r="C111" s="1" t="str">
        <f aca="false">IF(A113="","",TEXT(A113,"dddd"))</f>
        <v/>
      </c>
      <c r="D111" s="1" t="str">
        <f aca="false">IF(A113="","",TEXT(A113,"MMMM"))</f>
        <v/>
      </c>
      <c r="E111" s="1" t="str">
        <f aca="false">IF(A113="","",YEAR(A113))</f>
        <v/>
      </c>
      <c r="F111" s="29"/>
      <c r="G111" s="30"/>
      <c r="H111" s="29"/>
      <c r="I111" s="29"/>
      <c r="J111" s="29"/>
      <c r="K111" s="32"/>
      <c r="L111" s="29"/>
    </row>
    <row r="112" customFormat="false" ht="15" hidden="false" customHeight="true" outlineLevel="0" collapsed="false">
      <c r="A112" s="26"/>
      <c r="B112" s="27"/>
      <c r="C112" s="1" t="str">
        <f aca="false">IF(A114="","",TEXT(A114,"dddd"))</f>
        <v/>
      </c>
      <c r="D112" s="1" t="str">
        <f aca="false">IF(A114="","",TEXT(A114,"MMMM"))</f>
        <v/>
      </c>
      <c r="E112" s="1" t="str">
        <f aca="false">IF(A114="","",YEAR(A114))</f>
        <v/>
      </c>
      <c r="F112" s="29"/>
      <c r="G112" s="30"/>
      <c r="H112" s="29"/>
      <c r="I112" s="29"/>
      <c r="J112" s="29"/>
      <c r="K112" s="32"/>
      <c r="L112" s="29"/>
    </row>
    <row r="113" customFormat="false" ht="15" hidden="false" customHeight="true" outlineLevel="0" collapsed="false">
      <c r="A113" s="26"/>
      <c r="B113" s="27"/>
      <c r="C113" s="1" t="str">
        <f aca="false">IF(A115="","",TEXT(A115,"dddd"))</f>
        <v/>
      </c>
      <c r="D113" s="1" t="str">
        <f aca="false">IF(A115="","",TEXT(A115,"MMMM"))</f>
        <v/>
      </c>
      <c r="E113" s="1" t="str">
        <f aca="false">IF(A115="","",YEAR(A115))</f>
        <v/>
      </c>
      <c r="F113" s="29"/>
      <c r="G113" s="30"/>
      <c r="H113" s="29"/>
      <c r="I113" s="29"/>
      <c r="J113" s="29"/>
      <c r="K113" s="32"/>
      <c r="L113" s="29"/>
    </row>
    <row r="114" customFormat="false" ht="15" hidden="false" customHeight="true" outlineLevel="0" collapsed="false"/>
    <row r="115" customFormat="false" ht="164.2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M113"/>
  <dataValidations count="4">
    <dataValidation allowBlank="true" errorStyle="stop" operator="between" showDropDown="false" showErrorMessage="false" showInputMessage="false" sqref="F2:F988" type="list">
      <formula1>Configuration!$H$10:$H$16</formula1>
      <formula2>0</formula2>
    </dataValidation>
    <dataValidation allowBlank="true" errorStyle="stop" operator="between" showDropDown="false" showErrorMessage="false" showInputMessage="false" sqref="H2:I988" type="list">
      <formula1>Configuration!$A$11:$A$21</formula1>
      <formula2>0</formula2>
    </dataValidation>
    <dataValidation allowBlank="true" errorStyle="stop" operator="between" showDropDown="false" showErrorMessage="false" showInputMessage="false" sqref="K2:K988" type="list">
      <formula1>"TRUE,FALSE"</formula1>
      <formula2>0</formula2>
    </dataValidation>
    <dataValidation allowBlank="true" errorStyle="stop" operator="between" showDropDown="false" showErrorMessage="false" showInputMessage="false" sqref="J2:J997" type="list">
      <formula1>Configuration!$A$27:$A$95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F21" activeCellId="0" sqref="F21"/>
    </sheetView>
  </sheetViews>
  <sheetFormatPr defaultColWidth="8.304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1" min="10" style="1" width="12"/>
    <col collapsed="false" customWidth="true" hidden="false" outlineLevel="0" max="12" min="12" style="1" width="14"/>
  </cols>
  <sheetData>
    <row r="1" customFormat="false" ht="19.5" hidden="false" customHeight="true" outlineLevel="0" collapsed="false">
      <c r="A1" s="2" t="s">
        <v>141</v>
      </c>
    </row>
    <row r="2" customFormat="false" ht="15" hidden="false" customHeight="true" outlineLevel="0" collapsed="false">
      <c r="A2" s="18" t="s">
        <v>142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15" hidden="false" customHeight="true" outlineLevel="0" collapsed="false">
      <c r="A4" s="33" t="s">
        <v>48</v>
      </c>
    </row>
    <row r="5" customFormat="false" ht="17.25" hidden="false" customHeight="true" outlineLevel="0" collapsed="false">
      <c r="A5" s="1" t="s">
        <v>2</v>
      </c>
      <c r="B5" s="34" t="str">
        <f aca="true">TEXT(TODAY(),"MMMM YYYY")</f>
        <v>August 2026</v>
      </c>
    </row>
    <row r="6" customFormat="false" ht="15" hidden="false" customHeight="true" outlineLevel="0" collapsed="false">
      <c r="A6" s="1" t="s">
        <v>143</v>
      </c>
      <c r="B6" s="13" t="n">
        <f aca="true">IFERROR(INDEX($B$20:$B$61,MATCH(DATE(YEAR(TODAY()),MONTH(TODAY()),1),$A$20:$A$61,0)),Configuration!B6)</f>
        <v>31000</v>
      </c>
    </row>
    <row r="7" customFormat="false" ht="15" hidden="false" customHeight="true" outlineLevel="0" collapsed="false">
      <c r="A7" s="28" t="s">
        <v>144</v>
      </c>
      <c r="B7" s="13" t="n">
        <f aca="true">SUMIFS(Ledger!$G:$G,Ledger!$D:$D,TEXT(TODAY(),"MMMM"),Ledger!$E:$E,YEAR(TODAY()),Ledger!$F:$F,"Income")</f>
        <v>83167</v>
      </c>
    </row>
    <row r="8" customFormat="false" ht="15" hidden="false" customHeight="true" outlineLevel="0" collapsed="false">
      <c r="A8" s="28" t="s">
        <v>51</v>
      </c>
      <c r="B8" s="13" t="n">
        <f aca="true">SUMIFS(Ledger!$G:$G,Ledger!$D:$D,TEXT(TODAY(),"MMMM"),Ledger!$E:$E,YEAR(TODAY()),Ledger!$F:$F,"Expense",Ledger!$K:$K,TRUE())-SUMIFS(Ledger!$G:$G,Ledger!$D:$D,TEXT(TODAY(),"MMMM"),Ledger!$E:$E,YEAR(TODAY()),Ledger!$F:$F,"Refund",Ledger!$K:$K,TRUE())</f>
        <v>24740.33</v>
      </c>
    </row>
    <row r="9" customFormat="false" ht="15" hidden="false" customHeight="true" outlineLevel="0" collapsed="false">
      <c r="A9" s="28" t="s">
        <v>145</v>
      </c>
      <c r="B9" s="35" t="n">
        <f aca="false">B6-B8</f>
        <v>6259.67</v>
      </c>
    </row>
    <row r="10" customFormat="false" ht="15" hidden="false" customHeight="true" outlineLevel="0" collapsed="false">
      <c r="A10" s="28" t="s">
        <v>53</v>
      </c>
      <c r="B10" s="13" t="n">
        <f aca="true">SUMIFS(Ledger!$G:$G,Ledger!$D:$D,TEXT(TODAY(),"MMMM"),Ledger!$E:$E,YEAR(TODAY()),Ledger!$F:$F,"Expense",Ledger!$K:$K,FALSE())</f>
        <v>50671</v>
      </c>
    </row>
    <row r="11" customFormat="false" ht="15" hidden="false" customHeight="true" outlineLevel="0" collapsed="false">
      <c r="A11" s="28" t="s">
        <v>57</v>
      </c>
      <c r="B11" s="13" t="n">
        <f aca="true">SUMIFS(Ledger!$G:$G,Ledger!$D:$D,TEXT(TODAY(),"MMMM"),Ledger!$E:$E,YEAR(TODAY()),Ledger!$F:$F,"Investment")</f>
        <v>0</v>
      </c>
    </row>
    <row r="12" customFormat="false" ht="15" hidden="false" customHeight="true" outlineLevel="0" collapsed="false">
      <c r="A12" s="28" t="s">
        <v>146</v>
      </c>
      <c r="B12" s="13" t="n">
        <f aca="true">SUMIFS(Ledger!$G:$G,Ledger!$D:$D,TEXT(TODAY(),"MMMM"),Ledger!$E:$E,YEAR(TODAY()),Ledger!$J:$J,"EMIs")</f>
        <v>0</v>
      </c>
    </row>
    <row r="13" customFormat="false" ht="15" hidden="false" customHeight="true" outlineLevel="0" collapsed="false">
      <c r="A13" s="28" t="s">
        <v>116</v>
      </c>
      <c r="B13" s="13" t="n">
        <f aca="true">SUMIFS(Ledger!$G:$G,Ledger!$D:$D,TEXT(TODAY(),"MMMM"),Ledger!$E:$E,YEAR(TODAY()),Ledger!$J:$J,"Rent")</f>
        <v>10800</v>
      </c>
    </row>
    <row r="14" customFormat="false" ht="15" hidden="false" customHeight="true" outlineLevel="0" collapsed="false">
      <c r="A14" s="28" t="s">
        <v>147</v>
      </c>
      <c r="B14" s="13" t="n">
        <f aca="true">SUMIFS(Ledger!$G:$G,Ledger!$D:$D,TEXT(TODAY(),"MMMM"),Ledger!$E:$E,YEAR(TODAY()),Ledger!$F:$F,"Credit Card Payment")</f>
        <v>11723.51</v>
      </c>
    </row>
    <row r="15" customFormat="false" ht="15" hidden="false" customHeight="true" outlineLevel="0" collapsed="false">
      <c r="A15" s="28" t="s">
        <v>148</v>
      </c>
      <c r="B15" s="13" t="n">
        <f aca="false">B7-B8-B10-B11</f>
        <v>7755.67</v>
      </c>
    </row>
    <row r="16" customFormat="false" ht="15" hidden="false" customHeight="true" outlineLevel="0" collapsed="false">
      <c r="A16" s="1" t="s">
        <v>6</v>
      </c>
      <c r="B16" s="36" t="n">
        <f aca="false">IF(B6=0,0,B8/B6)</f>
        <v>0.798075161290323</v>
      </c>
    </row>
    <row r="18" customFormat="false" ht="15" hidden="false" customHeight="true" outlineLevel="0" collapsed="false">
      <c r="A18" s="4" t="s">
        <v>149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30.75" hidden="false" customHeight="true" outlineLevel="0" collapsed="false">
      <c r="A19" s="20" t="s">
        <v>150</v>
      </c>
      <c r="B19" s="20" t="s">
        <v>143</v>
      </c>
      <c r="C19" s="20" t="s">
        <v>49</v>
      </c>
      <c r="D19" s="20" t="s">
        <v>51</v>
      </c>
      <c r="E19" s="20" t="s">
        <v>44</v>
      </c>
      <c r="F19" s="20" t="s">
        <v>151</v>
      </c>
      <c r="G19" s="20" t="s">
        <v>57</v>
      </c>
      <c r="H19" s="20" t="s">
        <v>146</v>
      </c>
      <c r="I19" s="20" t="s">
        <v>116</v>
      </c>
      <c r="J19" s="20" t="s">
        <v>147</v>
      </c>
      <c r="K19" s="20" t="s">
        <v>55</v>
      </c>
      <c r="L19" s="20" t="s">
        <v>152</v>
      </c>
    </row>
    <row r="20" customFormat="false" ht="15" hidden="false" customHeight="true" outlineLevel="0" collapsed="false">
      <c r="A20" s="37" t="n">
        <v>46204</v>
      </c>
      <c r="B20" s="38" t="n">
        <v>31000</v>
      </c>
      <c r="C20" s="13" t="n">
        <f aca="false">SUMIFS(Ledger!$G:$G,Ledger!$D:$D,TEXT(A20,"MMMM"),Ledger!$E:$E,YEAR(A20),Ledger!$F:$F,"Income")</f>
        <v>0</v>
      </c>
      <c r="D20" s="13" t="n">
        <f aca="false">SUMIFS(Ledger!$G:$G,Ledger!$D:$D,TEXT(A20,"MMMM"),Ledger!$E:$E,YEAR(A20),Ledger!$F:$F,"Expense",Ledger!$K:$K,TRUE())-SUMIFS(Ledger!$G:$G,Ledger!$D:$D,TEXT(A20,"MMMM"),Ledger!$E:$E,YEAR(A20),Ledger!$F:$F,"Refund",Ledger!$K:$K,TRUE())</f>
        <v>3795.04</v>
      </c>
      <c r="E20" s="13" t="n">
        <f aca="false">B20-D20</f>
        <v>27204.96</v>
      </c>
      <c r="F20" s="13" t="n">
        <f aca="false">SUMIFS(Ledger!$G:$G,Ledger!$D:$D,TEXT(A20,"MMMM"),Ledger!$E:$E,YEAR(A20),Ledger!$F:$F,"Expense",Ledger!$K:$K,FALSE())</f>
        <v>0</v>
      </c>
      <c r="G20" s="13" t="n">
        <f aca="false">SUMIFS(Ledger!$G:$G,Ledger!$D:$D,TEXT(A20,"MMMM"),Ledger!$E:$E,YEAR(A20),Ledger!$F:$F,"Investment")</f>
        <v>0</v>
      </c>
      <c r="H20" s="13" t="n">
        <f aca="false">SUMIFS(Ledger!$G:$G,Ledger!$D:$D,TEXT(A20,"MMMM"),Ledger!$E:$E,YEAR(A20),Ledger!$J:$J,"EMIs")</f>
        <v>0</v>
      </c>
      <c r="I20" s="13" t="n">
        <f aca="false">SUMIFS(Ledger!$G:$G,Ledger!$D:$D,TEXT(A20,"MMMM"),Ledger!$E:$E,YEAR(A20),Ledger!$J:$J,"Rent")</f>
        <v>0</v>
      </c>
      <c r="J20" s="13" t="n">
        <f aca="false">SUMIFS(Ledger!$G:$G,Ledger!$D:$D,TEXT(A20,"MMMM"),Ledger!$E:$E,YEAR(A20),Ledger!$F:$F,"Credit Card Payment")</f>
        <v>0</v>
      </c>
      <c r="K20" s="13" t="n">
        <f aca="false">C20-D20-F20-G20</f>
        <v>-3795.04</v>
      </c>
      <c r="L20" s="28" t="str">
        <f aca="false">TEXT(A20,"MMMM YYYY")</f>
        <v>July 2026</v>
      </c>
    </row>
    <row r="21" customFormat="false" ht="15" hidden="false" customHeight="true" outlineLevel="0" collapsed="false">
      <c r="A21" s="37" t="n">
        <v>46235</v>
      </c>
      <c r="B21" s="38" t="n">
        <v>31000</v>
      </c>
      <c r="C21" s="13" t="n">
        <f aca="false">SUMIFS(Ledger!$G:$G,Ledger!$D:$D,TEXT(A21,"MMMM"),Ledger!$E:$E,YEAR(A21),Ledger!$F:$F,"Income")</f>
        <v>83167</v>
      </c>
      <c r="D21" s="13" t="n">
        <f aca="false">SUMIFS(Ledger!$G:$G,Ledger!$D:$D,TEXT(A21,"MMMM"),Ledger!$E:$E,YEAR(A21),Ledger!$F:$F,"Expense",Ledger!$K:$K,TRUE())-SUMIFS(Ledger!$G:$G,Ledger!$D:$D,TEXT(A21,"MMMM"),Ledger!$E:$E,YEAR(A21),Ledger!$F:$F,"Refund",Ledger!$K:$K,TRUE())</f>
        <v>24740.33</v>
      </c>
      <c r="E21" s="13" t="n">
        <f aca="false">B21-D21</f>
        <v>6259.67</v>
      </c>
      <c r="F21" s="13" t="n">
        <f aca="false">SUMIFS(Ledger!$G:$G,Ledger!$D:$D,TEXT(A21,"MMMM"),Ledger!$E:$E,YEAR(A21),Ledger!$F:$F,"Expense",Ledger!$K:$K,FALSE())</f>
        <v>50671</v>
      </c>
      <c r="G21" s="13" t="n">
        <f aca="false">SUMIFS(Ledger!$G:$G,Ledger!$D:$D,TEXT(A21,"MMMM"),Ledger!$E:$E,YEAR(A21),Ledger!$F:$F,"Investment")</f>
        <v>0</v>
      </c>
      <c r="H21" s="13" t="n">
        <f aca="false">SUMIFS(Ledger!$G:$G,Ledger!$D:$D,TEXT(A21,"MMMM"),Ledger!$E:$E,YEAR(A21),Ledger!$J:$J,"EMIs")</f>
        <v>0</v>
      </c>
      <c r="I21" s="13" t="n">
        <f aca="false">SUMIFS(Ledger!$G:$G,Ledger!$D:$D,TEXT(A21,"MMMM"),Ledger!$E:$E,YEAR(A21),Ledger!$J:$J,"Rent")</f>
        <v>10800</v>
      </c>
      <c r="J21" s="13" t="n">
        <f aca="false">SUMIFS(Ledger!$G:$G,Ledger!$D:$D,TEXT(A21,"MMMM"),Ledger!$E:$E,YEAR(A21),Ledger!$F:$F,"Credit Card Payment")</f>
        <v>11723.51</v>
      </c>
      <c r="K21" s="13" t="n">
        <f aca="false">C21-D21-F21-G21</f>
        <v>7755.67</v>
      </c>
      <c r="L21" s="28" t="str">
        <f aca="false">TEXT(A21,"MMMM YYYY")</f>
        <v>August 2026</v>
      </c>
    </row>
    <row r="22" customFormat="false" ht="15" hidden="false" customHeight="true" outlineLevel="0" collapsed="false">
      <c r="A22" s="37" t="n">
        <v>46266</v>
      </c>
      <c r="B22" s="38" t="n">
        <v>31000</v>
      </c>
      <c r="C22" s="13" t="n">
        <f aca="false">SUMIFS(Ledger!$G:$G,Ledger!$D:$D,TEXT(A22,"MMMM"),Ledger!$E:$E,YEAR(A22),Ledger!$F:$F,"Income")</f>
        <v>0</v>
      </c>
      <c r="D22" s="13" t="n">
        <f aca="false">SUMIFS(Ledger!$G:$G,Ledger!$D:$D,TEXT(A22,"MMMM"),Ledger!$E:$E,YEAR(A22),Ledger!$F:$F,"Expense",Ledger!$K:$K,TRUE())-SUMIFS(Ledger!$G:$G,Ledger!$D:$D,TEXT(A22,"MMMM"),Ledger!$E:$E,YEAR(A22),Ledger!$F:$F,"Refund",Ledger!$K:$K,TRUE())</f>
        <v>0</v>
      </c>
      <c r="E22" s="13" t="n">
        <f aca="false">B22-D22</f>
        <v>31000</v>
      </c>
      <c r="F22" s="13" t="n">
        <f aca="false">SUMIFS(Ledger!$G:$G,Ledger!$D:$D,TEXT(A22,"MMMM"),Ledger!$E:$E,YEAR(A22),Ledger!$F:$F,"Expense",Ledger!$K:$K,FALSE())</f>
        <v>0</v>
      </c>
      <c r="G22" s="13" t="n">
        <f aca="false">SUMIFS(Ledger!$G:$G,Ledger!$D:$D,TEXT(A22,"MMMM"),Ledger!$E:$E,YEAR(A22),Ledger!$F:$F,"Investment")</f>
        <v>0</v>
      </c>
      <c r="H22" s="13" t="n">
        <f aca="false">SUMIFS(Ledger!$G:$G,Ledger!$D:$D,TEXT(A22,"MMMM"),Ledger!$E:$E,YEAR(A22),Ledger!$J:$J,"EMIs")</f>
        <v>0</v>
      </c>
      <c r="I22" s="13" t="n">
        <f aca="false">SUMIFS(Ledger!$G:$G,Ledger!$D:$D,TEXT(A22,"MMMM"),Ledger!$E:$E,YEAR(A22),Ledger!$J:$J,"Rent")</f>
        <v>0</v>
      </c>
      <c r="J22" s="13" t="n">
        <f aca="false">SUMIFS(Ledger!$G:$G,Ledger!$D:$D,TEXT(A22,"MMMM"),Ledger!$E:$E,YEAR(A22),Ledger!$F:$F,"Credit Card Payment")</f>
        <v>0</v>
      </c>
      <c r="K22" s="13" t="n">
        <f aca="false">C22-D22-F22-G22</f>
        <v>0</v>
      </c>
      <c r="L22" s="28" t="str">
        <f aca="false">TEXT(A22,"MMMM YYYY")</f>
        <v>September 2026</v>
      </c>
    </row>
    <row r="23" customFormat="false" ht="15" hidden="false" customHeight="true" outlineLevel="0" collapsed="false">
      <c r="A23" s="37" t="n">
        <v>46296</v>
      </c>
      <c r="B23" s="38" t="n">
        <v>31000</v>
      </c>
      <c r="C23" s="13" t="n">
        <f aca="false">SUMIFS(Ledger!$G:$G,Ledger!$D:$D,TEXT(A23,"MMMM"),Ledger!$E:$E,YEAR(A23),Ledger!$F:$F,"Income")</f>
        <v>0</v>
      </c>
      <c r="D23" s="13" t="n">
        <f aca="false">SUMIFS(Ledger!$G:$G,Ledger!$D:$D,TEXT(A23,"MMMM"),Ledger!$E:$E,YEAR(A23),Ledger!$F:$F,"Expense",Ledger!$K:$K,TRUE())-SUMIFS(Ledger!$G:$G,Ledger!$D:$D,TEXT(A23,"MMMM"),Ledger!$E:$E,YEAR(A23),Ledger!$F:$F,"Refund",Ledger!$K:$K,TRUE())</f>
        <v>0</v>
      </c>
      <c r="E23" s="13" t="n">
        <f aca="false">B23-D23</f>
        <v>31000</v>
      </c>
      <c r="F23" s="13" t="n">
        <f aca="false">SUMIFS(Ledger!$G:$G,Ledger!$D:$D,TEXT(A23,"MMMM"),Ledger!$E:$E,YEAR(A23),Ledger!$F:$F,"Expense",Ledger!$K:$K,FALSE())</f>
        <v>0</v>
      </c>
      <c r="G23" s="13" t="n">
        <f aca="false">SUMIFS(Ledger!$G:$G,Ledger!$D:$D,TEXT(A23,"MMMM"),Ledger!$E:$E,YEAR(A23),Ledger!$F:$F,"Investment")</f>
        <v>0</v>
      </c>
      <c r="H23" s="13" t="n">
        <f aca="false">SUMIFS(Ledger!$G:$G,Ledger!$D:$D,TEXT(A23,"MMMM"),Ledger!$E:$E,YEAR(A23),Ledger!$J:$J,"EMIs")</f>
        <v>0</v>
      </c>
      <c r="I23" s="13" t="n">
        <f aca="false">SUMIFS(Ledger!$G:$G,Ledger!$D:$D,TEXT(A23,"MMMM"),Ledger!$E:$E,YEAR(A23),Ledger!$J:$J,"Rent")</f>
        <v>0</v>
      </c>
      <c r="J23" s="13" t="n">
        <f aca="false">SUMIFS(Ledger!$G:$G,Ledger!$D:$D,TEXT(A23,"MMMM"),Ledger!$E:$E,YEAR(A23),Ledger!$F:$F,"Credit Card Payment")</f>
        <v>0</v>
      </c>
      <c r="K23" s="13" t="n">
        <f aca="false">C23-D23-F23-G23</f>
        <v>0</v>
      </c>
      <c r="L23" s="28" t="str">
        <f aca="false">TEXT(A23,"MMMM YYYY")</f>
        <v>October 2026</v>
      </c>
    </row>
    <row r="24" customFormat="false" ht="15" hidden="false" customHeight="true" outlineLevel="0" collapsed="false">
      <c r="A24" s="37" t="n">
        <v>46327</v>
      </c>
      <c r="B24" s="38" t="n">
        <v>31000</v>
      </c>
      <c r="C24" s="13" t="n">
        <f aca="false">SUMIFS(Ledger!$G:$G,Ledger!$D:$D,TEXT(A24,"MMMM"),Ledger!$E:$E,YEAR(A24),Ledger!$F:$F,"Income")</f>
        <v>0</v>
      </c>
      <c r="D24" s="13" t="n">
        <f aca="false">SUMIFS(Ledger!$G:$G,Ledger!$D:$D,TEXT(A24,"MMMM"),Ledger!$E:$E,YEAR(A24),Ledger!$F:$F,"Expense",Ledger!$K:$K,TRUE())-SUMIFS(Ledger!$G:$G,Ledger!$D:$D,TEXT(A24,"MMMM"),Ledger!$E:$E,YEAR(A24),Ledger!$F:$F,"Refund",Ledger!$K:$K,TRUE())</f>
        <v>0</v>
      </c>
      <c r="E24" s="13" t="n">
        <f aca="false">B24-D24</f>
        <v>31000</v>
      </c>
      <c r="F24" s="13" t="n">
        <f aca="false">SUMIFS(Ledger!$G:$G,Ledger!$D:$D,TEXT(A24,"MMMM"),Ledger!$E:$E,YEAR(A24),Ledger!$F:$F,"Expense",Ledger!$K:$K,FALSE())</f>
        <v>0</v>
      </c>
      <c r="G24" s="13" t="n">
        <f aca="false">SUMIFS(Ledger!$G:$G,Ledger!$D:$D,TEXT(A24,"MMMM"),Ledger!$E:$E,YEAR(A24),Ledger!$F:$F,"Investment")</f>
        <v>0</v>
      </c>
      <c r="H24" s="13" t="n">
        <f aca="false">SUMIFS(Ledger!$G:$G,Ledger!$D:$D,TEXT(A24,"MMMM"),Ledger!$E:$E,YEAR(A24),Ledger!$J:$J,"EMIs")</f>
        <v>0</v>
      </c>
      <c r="I24" s="13" t="n">
        <f aca="false">SUMIFS(Ledger!$G:$G,Ledger!$D:$D,TEXT(A24,"MMMM"),Ledger!$E:$E,YEAR(A24),Ledger!$J:$J,"Rent")</f>
        <v>0</v>
      </c>
      <c r="J24" s="13" t="n">
        <f aca="false">SUMIFS(Ledger!$G:$G,Ledger!$D:$D,TEXT(A24,"MMMM"),Ledger!$E:$E,YEAR(A24),Ledger!$F:$F,"Credit Card Payment")</f>
        <v>0</v>
      </c>
      <c r="K24" s="13" t="n">
        <f aca="false">C24-D24-F24-G24</f>
        <v>0</v>
      </c>
      <c r="L24" s="28" t="str">
        <f aca="false">TEXT(A24,"MMMM YYYY")</f>
        <v>November 2026</v>
      </c>
    </row>
    <row r="25" customFormat="false" ht="15" hidden="false" customHeight="true" outlineLevel="0" collapsed="false">
      <c r="A25" s="37" t="n">
        <v>46357</v>
      </c>
      <c r="B25" s="38" t="n">
        <v>31000</v>
      </c>
      <c r="C25" s="13" t="n">
        <f aca="false">SUMIFS(Ledger!$G:$G,Ledger!$D:$D,TEXT(A25,"MMMM"),Ledger!$E:$E,YEAR(A25),Ledger!$F:$F,"Income")</f>
        <v>0</v>
      </c>
      <c r="D25" s="13" t="n">
        <f aca="false">SUMIFS(Ledger!$G:$G,Ledger!$D:$D,TEXT(A25,"MMMM"),Ledger!$E:$E,YEAR(A25),Ledger!$F:$F,"Expense",Ledger!$K:$K,TRUE())-SUMIFS(Ledger!$G:$G,Ledger!$D:$D,TEXT(A25,"MMMM"),Ledger!$E:$E,YEAR(A25),Ledger!$F:$F,"Refund",Ledger!$K:$K,TRUE())</f>
        <v>0</v>
      </c>
      <c r="E25" s="13" t="n">
        <f aca="false">B25-D25</f>
        <v>31000</v>
      </c>
      <c r="F25" s="13" t="n">
        <f aca="false">SUMIFS(Ledger!$G:$G,Ledger!$D:$D,TEXT(A25,"MMMM"),Ledger!$E:$E,YEAR(A25),Ledger!$F:$F,"Expense",Ledger!$K:$K,FALSE())</f>
        <v>0</v>
      </c>
      <c r="G25" s="13" t="n">
        <f aca="false">SUMIFS(Ledger!$G:$G,Ledger!$D:$D,TEXT(A25,"MMMM"),Ledger!$E:$E,YEAR(A25),Ledger!$F:$F,"Investment")</f>
        <v>0</v>
      </c>
      <c r="H25" s="13" t="n">
        <f aca="false">SUMIFS(Ledger!$G:$G,Ledger!$D:$D,TEXT(A25,"MMMM"),Ledger!$E:$E,YEAR(A25),Ledger!$J:$J,"EMIs")</f>
        <v>0</v>
      </c>
      <c r="I25" s="13" t="n">
        <f aca="false">SUMIFS(Ledger!$G:$G,Ledger!$D:$D,TEXT(A25,"MMMM"),Ledger!$E:$E,YEAR(A25),Ledger!$J:$J,"Rent")</f>
        <v>0</v>
      </c>
      <c r="J25" s="13" t="n">
        <f aca="false">SUMIFS(Ledger!$G:$G,Ledger!$D:$D,TEXT(A25,"MMMM"),Ledger!$E:$E,YEAR(A25),Ledger!$F:$F,"Credit Card Payment")</f>
        <v>0</v>
      </c>
      <c r="K25" s="13" t="n">
        <f aca="false">C25-D25-F25-G25</f>
        <v>0</v>
      </c>
      <c r="L25" s="28" t="str">
        <f aca="false">TEXT(A25,"MMMM YYYY")</f>
        <v>December 2026</v>
      </c>
    </row>
    <row r="26" customFormat="false" ht="15" hidden="false" customHeight="true" outlineLevel="0" collapsed="false">
      <c r="A26" s="37" t="n">
        <v>46388</v>
      </c>
      <c r="B26" s="38" t="n">
        <v>31000</v>
      </c>
      <c r="C26" s="13" t="n">
        <f aca="false">SUMIFS(Ledger!$G:$G,Ledger!$D:$D,TEXT(A26,"MMMM"),Ledger!$E:$E,YEAR(A26),Ledger!$F:$F,"Income")</f>
        <v>0</v>
      </c>
      <c r="D26" s="13" t="n">
        <f aca="false">SUMIFS(Ledger!$G:$G,Ledger!$D:$D,TEXT(A26,"MMMM"),Ledger!$E:$E,YEAR(A26),Ledger!$F:$F,"Expense",Ledger!$K:$K,TRUE())-SUMIFS(Ledger!$G:$G,Ledger!$D:$D,TEXT(A26,"MMMM"),Ledger!$E:$E,YEAR(A26),Ledger!$F:$F,"Refund",Ledger!$K:$K,TRUE())</f>
        <v>0</v>
      </c>
      <c r="E26" s="13" t="n">
        <f aca="false">B26-D26</f>
        <v>31000</v>
      </c>
      <c r="F26" s="13" t="n">
        <f aca="false">SUMIFS(Ledger!$G:$G,Ledger!$D:$D,TEXT(A26,"MMMM"),Ledger!$E:$E,YEAR(A26),Ledger!$F:$F,"Expense",Ledger!$K:$K,FALSE())</f>
        <v>0</v>
      </c>
      <c r="G26" s="13" t="n">
        <f aca="false">SUMIFS(Ledger!$G:$G,Ledger!$D:$D,TEXT(A26,"MMMM"),Ledger!$E:$E,YEAR(A26),Ledger!$F:$F,"Investment")</f>
        <v>0</v>
      </c>
      <c r="H26" s="13" t="n">
        <f aca="false">SUMIFS(Ledger!$G:$G,Ledger!$D:$D,TEXT(A26,"MMMM"),Ledger!$E:$E,YEAR(A26),Ledger!$J:$J,"EMIs")</f>
        <v>0</v>
      </c>
      <c r="I26" s="13" t="n">
        <f aca="false">SUMIFS(Ledger!$G:$G,Ledger!$D:$D,TEXT(A26,"MMMM"),Ledger!$E:$E,YEAR(A26),Ledger!$J:$J,"Rent")</f>
        <v>0</v>
      </c>
      <c r="J26" s="13" t="n">
        <f aca="false">SUMIFS(Ledger!$G:$G,Ledger!$D:$D,TEXT(A26,"MMMM"),Ledger!$E:$E,YEAR(A26),Ledger!$F:$F,"Credit Card Payment")</f>
        <v>0</v>
      </c>
      <c r="K26" s="13" t="n">
        <f aca="false">C26-D26-F26-G26</f>
        <v>0</v>
      </c>
      <c r="L26" s="28" t="str">
        <f aca="false">TEXT(A26,"MMMM YYYY")</f>
        <v>January 2027</v>
      </c>
    </row>
    <row r="27" customFormat="false" ht="15" hidden="false" customHeight="true" outlineLevel="0" collapsed="false">
      <c r="A27" s="37" t="n">
        <v>46419</v>
      </c>
      <c r="B27" s="38" t="n">
        <v>31000</v>
      </c>
      <c r="C27" s="13" t="n">
        <f aca="false">SUMIFS(Ledger!$G:$G,Ledger!$D:$D,TEXT(A27,"MMMM"),Ledger!$E:$E,YEAR(A27),Ledger!$F:$F,"Income")</f>
        <v>0</v>
      </c>
      <c r="D27" s="13" t="n">
        <f aca="false">SUMIFS(Ledger!$G:$G,Ledger!$D:$D,TEXT(A27,"MMMM"),Ledger!$E:$E,YEAR(A27),Ledger!$F:$F,"Expense",Ledger!$K:$K,TRUE())-SUMIFS(Ledger!$G:$G,Ledger!$D:$D,TEXT(A27,"MMMM"),Ledger!$E:$E,YEAR(A27),Ledger!$F:$F,"Refund",Ledger!$K:$K,TRUE())</f>
        <v>0</v>
      </c>
      <c r="E27" s="13" t="n">
        <f aca="false">B27-D27</f>
        <v>31000</v>
      </c>
      <c r="F27" s="13" t="n">
        <f aca="false">SUMIFS(Ledger!$G:$G,Ledger!$D:$D,TEXT(A27,"MMMM"),Ledger!$E:$E,YEAR(A27),Ledger!$F:$F,"Expense",Ledger!$K:$K,FALSE())</f>
        <v>0</v>
      </c>
      <c r="G27" s="13" t="n">
        <f aca="false">SUMIFS(Ledger!$G:$G,Ledger!$D:$D,TEXT(A27,"MMMM"),Ledger!$E:$E,YEAR(A27),Ledger!$F:$F,"Investment")</f>
        <v>0</v>
      </c>
      <c r="H27" s="13" t="n">
        <f aca="false">SUMIFS(Ledger!$G:$G,Ledger!$D:$D,TEXT(A27,"MMMM"),Ledger!$E:$E,YEAR(A27),Ledger!$J:$J,"EMIs")</f>
        <v>0</v>
      </c>
      <c r="I27" s="13" t="n">
        <f aca="false">SUMIFS(Ledger!$G:$G,Ledger!$D:$D,TEXT(A27,"MMMM"),Ledger!$E:$E,YEAR(A27),Ledger!$J:$J,"Rent")</f>
        <v>0</v>
      </c>
      <c r="J27" s="13" t="n">
        <f aca="false">SUMIFS(Ledger!$G:$G,Ledger!$D:$D,TEXT(A27,"MMMM"),Ledger!$E:$E,YEAR(A27),Ledger!$F:$F,"Credit Card Payment")</f>
        <v>0</v>
      </c>
      <c r="K27" s="13" t="n">
        <f aca="false">C27-D27-F27-G27</f>
        <v>0</v>
      </c>
      <c r="L27" s="28" t="str">
        <f aca="false">TEXT(A27,"MMMM YYYY")</f>
        <v>February 2027</v>
      </c>
    </row>
    <row r="28" customFormat="false" ht="15" hidden="false" customHeight="true" outlineLevel="0" collapsed="false">
      <c r="A28" s="37" t="n">
        <v>46447</v>
      </c>
      <c r="B28" s="38" t="n">
        <v>31000</v>
      </c>
      <c r="C28" s="13" t="n">
        <f aca="false">SUMIFS(Ledger!$G:$G,Ledger!$D:$D,TEXT(A28,"MMMM"),Ledger!$E:$E,YEAR(A28),Ledger!$F:$F,"Income")</f>
        <v>0</v>
      </c>
      <c r="D28" s="13" t="n">
        <f aca="false">SUMIFS(Ledger!$G:$G,Ledger!$D:$D,TEXT(A28,"MMMM"),Ledger!$E:$E,YEAR(A28),Ledger!$F:$F,"Expense",Ledger!$K:$K,TRUE())-SUMIFS(Ledger!$G:$G,Ledger!$D:$D,TEXT(A28,"MMMM"),Ledger!$E:$E,YEAR(A28),Ledger!$F:$F,"Refund",Ledger!$K:$K,TRUE())</f>
        <v>0</v>
      </c>
      <c r="E28" s="13" t="n">
        <f aca="false">B28-D28</f>
        <v>31000</v>
      </c>
      <c r="F28" s="13" t="n">
        <f aca="false">SUMIFS(Ledger!$G:$G,Ledger!$D:$D,TEXT(A28,"MMMM"),Ledger!$E:$E,YEAR(A28),Ledger!$F:$F,"Expense",Ledger!$K:$K,FALSE())</f>
        <v>0</v>
      </c>
      <c r="G28" s="13" t="n">
        <f aca="false">SUMIFS(Ledger!$G:$G,Ledger!$D:$D,TEXT(A28,"MMMM"),Ledger!$E:$E,YEAR(A28),Ledger!$F:$F,"Investment")</f>
        <v>0</v>
      </c>
      <c r="H28" s="13" t="n">
        <f aca="false">SUMIFS(Ledger!$G:$G,Ledger!$D:$D,TEXT(A28,"MMMM"),Ledger!$E:$E,YEAR(A28),Ledger!$J:$J,"EMIs")</f>
        <v>0</v>
      </c>
      <c r="I28" s="13" t="n">
        <f aca="false">SUMIFS(Ledger!$G:$G,Ledger!$D:$D,TEXT(A28,"MMMM"),Ledger!$E:$E,YEAR(A28),Ledger!$J:$J,"Rent")</f>
        <v>0</v>
      </c>
      <c r="J28" s="13" t="n">
        <f aca="false">SUMIFS(Ledger!$G:$G,Ledger!$D:$D,TEXT(A28,"MMMM"),Ledger!$E:$E,YEAR(A28),Ledger!$F:$F,"Credit Card Payment")</f>
        <v>0</v>
      </c>
      <c r="K28" s="13" t="n">
        <f aca="false">C28-D28-F28-G28</f>
        <v>0</v>
      </c>
      <c r="L28" s="28" t="str">
        <f aca="false">TEXT(A28,"MMMM YYYY")</f>
        <v>March 2027</v>
      </c>
    </row>
    <row r="29" customFormat="false" ht="15" hidden="false" customHeight="true" outlineLevel="0" collapsed="false">
      <c r="A29" s="37" t="n">
        <v>46478</v>
      </c>
      <c r="B29" s="38" t="n">
        <v>31000</v>
      </c>
      <c r="C29" s="13" t="n">
        <f aca="false">SUMIFS(Ledger!$G:$G,Ledger!$D:$D,TEXT(A29,"MMMM"),Ledger!$E:$E,YEAR(A29),Ledger!$F:$F,"Income")</f>
        <v>0</v>
      </c>
      <c r="D29" s="13" t="n">
        <f aca="false">SUMIFS(Ledger!$G:$G,Ledger!$D:$D,TEXT(A29,"MMMM"),Ledger!$E:$E,YEAR(A29),Ledger!$F:$F,"Expense",Ledger!$K:$K,TRUE())-SUMIFS(Ledger!$G:$G,Ledger!$D:$D,TEXT(A29,"MMMM"),Ledger!$E:$E,YEAR(A29),Ledger!$F:$F,"Refund",Ledger!$K:$K,TRUE())</f>
        <v>0</v>
      </c>
      <c r="E29" s="13" t="n">
        <f aca="false">B29-D29</f>
        <v>31000</v>
      </c>
      <c r="F29" s="13" t="n">
        <f aca="false">SUMIFS(Ledger!$G:$G,Ledger!$D:$D,TEXT(A29,"MMMM"),Ledger!$E:$E,YEAR(A29),Ledger!$F:$F,"Expense",Ledger!$K:$K,FALSE())</f>
        <v>0</v>
      </c>
      <c r="G29" s="13" t="n">
        <f aca="false">SUMIFS(Ledger!$G:$G,Ledger!$D:$D,TEXT(A29,"MMMM"),Ledger!$E:$E,YEAR(A29),Ledger!$F:$F,"Investment")</f>
        <v>0</v>
      </c>
      <c r="H29" s="13" t="n">
        <f aca="false">SUMIFS(Ledger!$G:$G,Ledger!$D:$D,TEXT(A29,"MMMM"),Ledger!$E:$E,YEAR(A29),Ledger!$J:$J,"EMIs")</f>
        <v>0</v>
      </c>
      <c r="I29" s="13" t="n">
        <f aca="false">SUMIFS(Ledger!$G:$G,Ledger!$D:$D,TEXT(A29,"MMMM"),Ledger!$E:$E,YEAR(A29),Ledger!$J:$J,"Rent")</f>
        <v>0</v>
      </c>
      <c r="J29" s="13" t="n">
        <f aca="false">SUMIFS(Ledger!$G:$G,Ledger!$D:$D,TEXT(A29,"MMMM"),Ledger!$E:$E,YEAR(A29),Ledger!$F:$F,"Credit Card Payment")</f>
        <v>0</v>
      </c>
      <c r="K29" s="13" t="n">
        <f aca="false">C29-D29-F29-G29</f>
        <v>0</v>
      </c>
      <c r="L29" s="28" t="str">
        <f aca="false">TEXT(A29,"MMMM YYYY")</f>
        <v>April 2027</v>
      </c>
    </row>
    <row r="30" customFormat="false" ht="15" hidden="false" customHeight="true" outlineLevel="0" collapsed="false">
      <c r="A30" s="37" t="n">
        <v>46508</v>
      </c>
      <c r="B30" s="38" t="n">
        <v>31000</v>
      </c>
      <c r="C30" s="13" t="n">
        <f aca="false">SUMIFS(Ledger!$G:$G,Ledger!$D:$D,TEXT(A30,"MMMM"),Ledger!$E:$E,YEAR(A30),Ledger!$F:$F,"Income")</f>
        <v>0</v>
      </c>
      <c r="D30" s="13" t="n">
        <f aca="false">SUMIFS(Ledger!$G:$G,Ledger!$D:$D,TEXT(A30,"MMMM"),Ledger!$E:$E,YEAR(A30),Ledger!$F:$F,"Expense",Ledger!$K:$K,TRUE())-SUMIFS(Ledger!$G:$G,Ledger!$D:$D,TEXT(A30,"MMMM"),Ledger!$E:$E,YEAR(A30),Ledger!$F:$F,"Refund",Ledger!$K:$K,TRUE())</f>
        <v>0</v>
      </c>
      <c r="E30" s="13" t="n">
        <f aca="false">B30-D30</f>
        <v>31000</v>
      </c>
      <c r="F30" s="13" t="n">
        <f aca="false">SUMIFS(Ledger!$G:$G,Ledger!$D:$D,TEXT(A30,"MMMM"),Ledger!$E:$E,YEAR(A30),Ledger!$F:$F,"Expense",Ledger!$K:$K,FALSE())</f>
        <v>0</v>
      </c>
      <c r="G30" s="13" t="n">
        <f aca="false">SUMIFS(Ledger!$G:$G,Ledger!$D:$D,TEXT(A30,"MMMM"),Ledger!$E:$E,YEAR(A30),Ledger!$F:$F,"Investment")</f>
        <v>0</v>
      </c>
      <c r="H30" s="13" t="n">
        <f aca="false">SUMIFS(Ledger!$G:$G,Ledger!$D:$D,TEXT(A30,"MMMM"),Ledger!$E:$E,YEAR(A30),Ledger!$J:$J,"EMIs")</f>
        <v>0</v>
      </c>
      <c r="I30" s="13" t="n">
        <f aca="false">SUMIFS(Ledger!$G:$G,Ledger!$D:$D,TEXT(A30,"MMMM"),Ledger!$E:$E,YEAR(A30),Ledger!$J:$J,"Rent")</f>
        <v>0</v>
      </c>
      <c r="J30" s="13" t="n">
        <f aca="false">SUMIFS(Ledger!$G:$G,Ledger!$D:$D,TEXT(A30,"MMMM"),Ledger!$E:$E,YEAR(A30),Ledger!$F:$F,"Credit Card Payment")</f>
        <v>0</v>
      </c>
      <c r="K30" s="13" t="n">
        <f aca="false">C30-D30-F30-G30</f>
        <v>0</v>
      </c>
      <c r="L30" s="28" t="str">
        <f aca="false">TEXT(A30,"MMMM YYYY")</f>
        <v>May 2027</v>
      </c>
    </row>
    <row r="31" customFormat="false" ht="15" hidden="false" customHeight="true" outlineLevel="0" collapsed="false">
      <c r="A31" s="37" t="n">
        <v>46539</v>
      </c>
      <c r="B31" s="38" t="n">
        <v>31000</v>
      </c>
      <c r="C31" s="13" t="n">
        <f aca="false">SUMIFS(Ledger!$G:$G,Ledger!$D:$D,TEXT(A31,"MMMM"),Ledger!$E:$E,YEAR(A31),Ledger!$F:$F,"Income")</f>
        <v>0</v>
      </c>
      <c r="D31" s="13" t="n">
        <f aca="false">SUMIFS(Ledger!$G:$G,Ledger!$D:$D,TEXT(A31,"MMMM"),Ledger!$E:$E,YEAR(A31),Ledger!$F:$F,"Expense",Ledger!$K:$K,TRUE())-SUMIFS(Ledger!$G:$G,Ledger!$D:$D,TEXT(A31,"MMMM"),Ledger!$E:$E,YEAR(A31),Ledger!$F:$F,"Refund",Ledger!$K:$K,TRUE())</f>
        <v>0</v>
      </c>
      <c r="E31" s="13" t="n">
        <f aca="false">B31-D31</f>
        <v>31000</v>
      </c>
      <c r="F31" s="13" t="n">
        <f aca="false">SUMIFS(Ledger!$G:$G,Ledger!$D:$D,TEXT(A31,"MMMM"),Ledger!$E:$E,YEAR(A31),Ledger!$F:$F,"Expense",Ledger!$K:$K,FALSE())</f>
        <v>0</v>
      </c>
      <c r="G31" s="13" t="n">
        <f aca="false">SUMIFS(Ledger!$G:$G,Ledger!$D:$D,TEXT(A31,"MMMM"),Ledger!$E:$E,YEAR(A31),Ledger!$F:$F,"Investment")</f>
        <v>0</v>
      </c>
      <c r="H31" s="13" t="n">
        <f aca="false">SUMIFS(Ledger!$G:$G,Ledger!$D:$D,TEXT(A31,"MMMM"),Ledger!$E:$E,YEAR(A31),Ledger!$J:$J,"EMIs")</f>
        <v>0</v>
      </c>
      <c r="I31" s="13" t="n">
        <f aca="false">SUMIFS(Ledger!$G:$G,Ledger!$D:$D,TEXT(A31,"MMMM"),Ledger!$E:$E,YEAR(A31),Ledger!$J:$J,"Rent")</f>
        <v>0</v>
      </c>
      <c r="J31" s="13" t="n">
        <f aca="false">SUMIFS(Ledger!$G:$G,Ledger!$D:$D,TEXT(A31,"MMMM"),Ledger!$E:$E,YEAR(A31),Ledger!$F:$F,"Credit Card Payment")</f>
        <v>0</v>
      </c>
      <c r="K31" s="13" t="n">
        <f aca="false">C31-D31-F31-G31</f>
        <v>0</v>
      </c>
      <c r="L31" s="28" t="str">
        <f aca="false">TEXT(A31,"MMMM YYYY")</f>
        <v>June 2027</v>
      </c>
    </row>
    <row r="32" customFormat="false" ht="15" hidden="false" customHeight="true" outlineLevel="0" collapsed="false">
      <c r="A32" s="37" t="n">
        <v>46569</v>
      </c>
      <c r="B32" s="38" t="n">
        <v>31000</v>
      </c>
      <c r="C32" s="13" t="n">
        <f aca="false">SUMIFS(Ledger!$G:$G,Ledger!$D:$D,TEXT(A32,"MMMM"),Ledger!$E:$E,YEAR(A32),Ledger!$F:$F,"Income")</f>
        <v>0</v>
      </c>
      <c r="D32" s="13" t="n">
        <f aca="false">SUMIFS(Ledger!$G:$G,Ledger!$D:$D,TEXT(A32,"MMMM"),Ledger!$E:$E,YEAR(A32),Ledger!$F:$F,"Expense",Ledger!$K:$K,TRUE())-SUMIFS(Ledger!$G:$G,Ledger!$D:$D,TEXT(A32,"MMMM"),Ledger!$E:$E,YEAR(A32),Ledger!$F:$F,"Refund",Ledger!$K:$K,TRUE())</f>
        <v>0</v>
      </c>
      <c r="E32" s="13" t="n">
        <f aca="false">B32-D32</f>
        <v>31000</v>
      </c>
      <c r="F32" s="13" t="n">
        <f aca="false">SUMIFS(Ledger!$G:$G,Ledger!$D:$D,TEXT(A32,"MMMM"),Ledger!$E:$E,YEAR(A32),Ledger!$F:$F,"Expense",Ledger!$K:$K,FALSE())</f>
        <v>0</v>
      </c>
      <c r="G32" s="13" t="n">
        <f aca="false">SUMIFS(Ledger!$G:$G,Ledger!$D:$D,TEXT(A32,"MMMM"),Ledger!$E:$E,YEAR(A32),Ledger!$F:$F,"Investment")</f>
        <v>0</v>
      </c>
      <c r="H32" s="13" t="n">
        <f aca="false">SUMIFS(Ledger!$G:$G,Ledger!$D:$D,TEXT(A32,"MMMM"),Ledger!$E:$E,YEAR(A32),Ledger!$J:$J,"EMIs")</f>
        <v>0</v>
      </c>
      <c r="I32" s="13" t="n">
        <f aca="false">SUMIFS(Ledger!$G:$G,Ledger!$D:$D,TEXT(A32,"MMMM"),Ledger!$E:$E,YEAR(A32),Ledger!$J:$J,"Rent")</f>
        <v>0</v>
      </c>
      <c r="J32" s="13" t="n">
        <f aca="false">SUMIFS(Ledger!$G:$G,Ledger!$D:$D,TEXT(A32,"MMMM"),Ledger!$E:$E,YEAR(A32),Ledger!$F:$F,"Credit Card Payment")</f>
        <v>0</v>
      </c>
      <c r="K32" s="13" t="n">
        <f aca="false">C32-D32-F32-G32</f>
        <v>0</v>
      </c>
      <c r="L32" s="28" t="str">
        <f aca="false">TEXT(A32,"MMMM YYYY")</f>
        <v>July 2027</v>
      </c>
    </row>
    <row r="33" customFormat="false" ht="15" hidden="false" customHeight="true" outlineLevel="0" collapsed="false">
      <c r="A33" s="37" t="n">
        <v>46600</v>
      </c>
      <c r="B33" s="38" t="n">
        <v>31000</v>
      </c>
      <c r="C33" s="13" t="n">
        <f aca="false">SUMIFS(Ledger!$G:$G,Ledger!$D:$D,TEXT(A33,"MMMM"),Ledger!$E:$E,YEAR(A33),Ledger!$F:$F,"Income")</f>
        <v>0</v>
      </c>
      <c r="D33" s="13" t="n">
        <f aca="false">SUMIFS(Ledger!$G:$G,Ledger!$D:$D,TEXT(A33,"MMMM"),Ledger!$E:$E,YEAR(A33),Ledger!$F:$F,"Expense",Ledger!$K:$K,TRUE())-SUMIFS(Ledger!$G:$G,Ledger!$D:$D,TEXT(A33,"MMMM"),Ledger!$E:$E,YEAR(A33),Ledger!$F:$F,"Refund",Ledger!$K:$K,TRUE())</f>
        <v>0</v>
      </c>
      <c r="E33" s="13" t="n">
        <f aca="false">B33-D33</f>
        <v>31000</v>
      </c>
      <c r="F33" s="13" t="n">
        <f aca="false">SUMIFS(Ledger!$G:$G,Ledger!$D:$D,TEXT(A33,"MMMM"),Ledger!$E:$E,YEAR(A33),Ledger!$F:$F,"Expense",Ledger!$K:$K,FALSE())</f>
        <v>0</v>
      </c>
      <c r="G33" s="13" t="n">
        <f aca="false">SUMIFS(Ledger!$G:$G,Ledger!$D:$D,TEXT(A33,"MMMM"),Ledger!$E:$E,YEAR(A33),Ledger!$F:$F,"Investment")</f>
        <v>0</v>
      </c>
      <c r="H33" s="13" t="n">
        <f aca="false">SUMIFS(Ledger!$G:$G,Ledger!$D:$D,TEXT(A33,"MMMM"),Ledger!$E:$E,YEAR(A33),Ledger!$J:$J,"EMIs")</f>
        <v>0</v>
      </c>
      <c r="I33" s="13" t="n">
        <f aca="false">SUMIFS(Ledger!$G:$G,Ledger!$D:$D,TEXT(A33,"MMMM"),Ledger!$E:$E,YEAR(A33),Ledger!$J:$J,"Rent")</f>
        <v>0</v>
      </c>
      <c r="J33" s="13" t="n">
        <f aca="false">SUMIFS(Ledger!$G:$G,Ledger!$D:$D,TEXT(A33,"MMMM"),Ledger!$E:$E,YEAR(A33),Ledger!$F:$F,"Credit Card Payment")</f>
        <v>0</v>
      </c>
      <c r="K33" s="13" t="n">
        <f aca="false">C33-D33-F33-G33</f>
        <v>0</v>
      </c>
      <c r="L33" s="28" t="str">
        <f aca="false">TEXT(A33,"MMMM YYYY")</f>
        <v>August 2027</v>
      </c>
    </row>
    <row r="34" customFormat="false" ht="15" hidden="false" customHeight="true" outlineLevel="0" collapsed="false">
      <c r="A34" s="37" t="n">
        <v>46631</v>
      </c>
      <c r="B34" s="38" t="n">
        <v>31000</v>
      </c>
      <c r="C34" s="13" t="n">
        <f aca="false">SUMIFS(Ledger!$G:$G,Ledger!$D:$D,TEXT(A34,"MMMM"),Ledger!$E:$E,YEAR(A34),Ledger!$F:$F,"Income")</f>
        <v>0</v>
      </c>
      <c r="D34" s="13" t="n">
        <f aca="false">SUMIFS(Ledger!$G:$G,Ledger!$D:$D,TEXT(A34,"MMMM"),Ledger!$E:$E,YEAR(A34),Ledger!$F:$F,"Expense",Ledger!$K:$K,TRUE())-SUMIFS(Ledger!$G:$G,Ledger!$D:$D,TEXT(A34,"MMMM"),Ledger!$E:$E,YEAR(A34),Ledger!$F:$F,"Refund",Ledger!$K:$K,TRUE())</f>
        <v>0</v>
      </c>
      <c r="E34" s="13" t="n">
        <f aca="false">B34-D34</f>
        <v>31000</v>
      </c>
      <c r="F34" s="13" t="n">
        <f aca="false">SUMIFS(Ledger!$G:$G,Ledger!$D:$D,TEXT(A34,"MMMM"),Ledger!$E:$E,YEAR(A34),Ledger!$F:$F,"Expense",Ledger!$K:$K,FALSE())</f>
        <v>0</v>
      </c>
      <c r="G34" s="13" t="n">
        <f aca="false">SUMIFS(Ledger!$G:$G,Ledger!$D:$D,TEXT(A34,"MMMM"),Ledger!$E:$E,YEAR(A34),Ledger!$F:$F,"Investment")</f>
        <v>0</v>
      </c>
      <c r="H34" s="13" t="n">
        <f aca="false">SUMIFS(Ledger!$G:$G,Ledger!$D:$D,TEXT(A34,"MMMM"),Ledger!$E:$E,YEAR(A34),Ledger!$J:$J,"EMIs")</f>
        <v>0</v>
      </c>
      <c r="I34" s="13" t="n">
        <f aca="false">SUMIFS(Ledger!$G:$G,Ledger!$D:$D,TEXT(A34,"MMMM"),Ledger!$E:$E,YEAR(A34),Ledger!$J:$J,"Rent")</f>
        <v>0</v>
      </c>
      <c r="J34" s="13" t="n">
        <f aca="false">SUMIFS(Ledger!$G:$G,Ledger!$D:$D,TEXT(A34,"MMMM"),Ledger!$E:$E,YEAR(A34),Ledger!$F:$F,"Credit Card Payment")</f>
        <v>0</v>
      </c>
      <c r="K34" s="13" t="n">
        <f aca="false">C34-D34-F34-G34</f>
        <v>0</v>
      </c>
      <c r="L34" s="28" t="str">
        <f aca="false">TEXT(A34,"MMMM YYYY")</f>
        <v>September 2027</v>
      </c>
    </row>
    <row r="35" customFormat="false" ht="15" hidden="false" customHeight="true" outlineLevel="0" collapsed="false">
      <c r="A35" s="37" t="n">
        <v>46661</v>
      </c>
      <c r="B35" s="38" t="n">
        <v>31000</v>
      </c>
      <c r="C35" s="13" t="n">
        <f aca="false">SUMIFS(Ledger!$G:$G,Ledger!$D:$D,TEXT(A35,"MMMM"),Ledger!$E:$E,YEAR(A35),Ledger!$F:$F,"Income")</f>
        <v>0</v>
      </c>
      <c r="D35" s="13" t="n">
        <f aca="false">SUMIFS(Ledger!$G:$G,Ledger!$D:$D,TEXT(A35,"MMMM"),Ledger!$E:$E,YEAR(A35),Ledger!$F:$F,"Expense",Ledger!$K:$K,TRUE())-SUMIFS(Ledger!$G:$G,Ledger!$D:$D,TEXT(A35,"MMMM"),Ledger!$E:$E,YEAR(A35),Ledger!$F:$F,"Refund",Ledger!$K:$K,TRUE())</f>
        <v>0</v>
      </c>
      <c r="E35" s="13" t="n">
        <f aca="false">B35-D35</f>
        <v>31000</v>
      </c>
      <c r="F35" s="13" t="n">
        <f aca="false">SUMIFS(Ledger!$G:$G,Ledger!$D:$D,TEXT(A35,"MMMM"),Ledger!$E:$E,YEAR(A35),Ledger!$F:$F,"Expense",Ledger!$K:$K,FALSE())</f>
        <v>0</v>
      </c>
      <c r="G35" s="13" t="n">
        <f aca="false">SUMIFS(Ledger!$G:$G,Ledger!$D:$D,TEXT(A35,"MMMM"),Ledger!$E:$E,YEAR(A35),Ledger!$F:$F,"Investment")</f>
        <v>0</v>
      </c>
      <c r="H35" s="13" t="n">
        <f aca="false">SUMIFS(Ledger!$G:$G,Ledger!$D:$D,TEXT(A35,"MMMM"),Ledger!$E:$E,YEAR(A35),Ledger!$J:$J,"EMIs")</f>
        <v>0</v>
      </c>
      <c r="I35" s="13" t="n">
        <f aca="false">SUMIFS(Ledger!$G:$G,Ledger!$D:$D,TEXT(A35,"MMMM"),Ledger!$E:$E,YEAR(A35),Ledger!$J:$J,"Rent")</f>
        <v>0</v>
      </c>
      <c r="J35" s="13" t="n">
        <f aca="false">SUMIFS(Ledger!$G:$G,Ledger!$D:$D,TEXT(A35,"MMMM"),Ledger!$E:$E,YEAR(A35),Ledger!$F:$F,"Credit Card Payment")</f>
        <v>0</v>
      </c>
      <c r="K35" s="13" t="n">
        <f aca="false">C35-D35-F35-G35</f>
        <v>0</v>
      </c>
      <c r="L35" s="28" t="str">
        <f aca="false">TEXT(A35,"MMMM YYYY")</f>
        <v>October 2027</v>
      </c>
    </row>
    <row r="36" customFormat="false" ht="15" hidden="false" customHeight="true" outlineLevel="0" collapsed="false">
      <c r="A36" s="37" t="n">
        <v>46692</v>
      </c>
      <c r="B36" s="38" t="n">
        <v>31000</v>
      </c>
      <c r="C36" s="13" t="n">
        <f aca="false">SUMIFS(Ledger!$G:$G,Ledger!$D:$D,TEXT(A36,"MMMM"),Ledger!$E:$E,YEAR(A36),Ledger!$F:$F,"Income")</f>
        <v>0</v>
      </c>
      <c r="D36" s="13" t="n">
        <f aca="false">SUMIFS(Ledger!$G:$G,Ledger!$D:$D,TEXT(A36,"MMMM"),Ledger!$E:$E,YEAR(A36),Ledger!$F:$F,"Expense",Ledger!$K:$K,TRUE())-SUMIFS(Ledger!$G:$G,Ledger!$D:$D,TEXT(A36,"MMMM"),Ledger!$E:$E,YEAR(A36),Ledger!$F:$F,"Refund",Ledger!$K:$K,TRUE())</f>
        <v>0</v>
      </c>
      <c r="E36" s="13" t="n">
        <f aca="false">B36-D36</f>
        <v>31000</v>
      </c>
      <c r="F36" s="13" t="n">
        <f aca="false">SUMIFS(Ledger!$G:$G,Ledger!$D:$D,TEXT(A36,"MMMM"),Ledger!$E:$E,YEAR(A36),Ledger!$F:$F,"Expense",Ledger!$K:$K,FALSE())</f>
        <v>0</v>
      </c>
      <c r="G36" s="13" t="n">
        <f aca="false">SUMIFS(Ledger!$G:$G,Ledger!$D:$D,TEXT(A36,"MMMM"),Ledger!$E:$E,YEAR(A36),Ledger!$F:$F,"Investment")</f>
        <v>0</v>
      </c>
      <c r="H36" s="13" t="n">
        <f aca="false">SUMIFS(Ledger!$G:$G,Ledger!$D:$D,TEXT(A36,"MMMM"),Ledger!$E:$E,YEAR(A36),Ledger!$J:$J,"EMIs")</f>
        <v>0</v>
      </c>
      <c r="I36" s="13" t="n">
        <f aca="false">SUMIFS(Ledger!$G:$G,Ledger!$D:$D,TEXT(A36,"MMMM"),Ledger!$E:$E,YEAR(A36),Ledger!$J:$J,"Rent")</f>
        <v>0</v>
      </c>
      <c r="J36" s="13" t="n">
        <f aca="false">SUMIFS(Ledger!$G:$G,Ledger!$D:$D,TEXT(A36,"MMMM"),Ledger!$E:$E,YEAR(A36),Ledger!$F:$F,"Credit Card Payment")</f>
        <v>0</v>
      </c>
      <c r="K36" s="13" t="n">
        <f aca="false">C36-D36-F36-G36</f>
        <v>0</v>
      </c>
      <c r="L36" s="28" t="str">
        <f aca="false">TEXT(A36,"MMMM YYYY")</f>
        <v>November 2027</v>
      </c>
    </row>
    <row r="37" customFormat="false" ht="15" hidden="false" customHeight="true" outlineLevel="0" collapsed="false">
      <c r="A37" s="37" t="n">
        <v>46722</v>
      </c>
      <c r="B37" s="38" t="n">
        <v>31000</v>
      </c>
      <c r="C37" s="13" t="n">
        <f aca="false">SUMIFS(Ledger!$G:$G,Ledger!$D:$D,TEXT(A37,"MMMM"),Ledger!$E:$E,YEAR(A37),Ledger!$F:$F,"Income")</f>
        <v>0</v>
      </c>
      <c r="D37" s="13" t="n">
        <f aca="false">SUMIFS(Ledger!$G:$G,Ledger!$D:$D,TEXT(A37,"MMMM"),Ledger!$E:$E,YEAR(A37),Ledger!$F:$F,"Expense",Ledger!$K:$K,TRUE())-SUMIFS(Ledger!$G:$G,Ledger!$D:$D,TEXT(A37,"MMMM"),Ledger!$E:$E,YEAR(A37),Ledger!$F:$F,"Refund",Ledger!$K:$K,TRUE())</f>
        <v>0</v>
      </c>
      <c r="E37" s="13" t="n">
        <f aca="false">B37-D37</f>
        <v>31000</v>
      </c>
      <c r="F37" s="13" t="n">
        <f aca="false">SUMIFS(Ledger!$G:$G,Ledger!$D:$D,TEXT(A37,"MMMM"),Ledger!$E:$E,YEAR(A37),Ledger!$F:$F,"Expense",Ledger!$K:$K,FALSE())</f>
        <v>0</v>
      </c>
      <c r="G37" s="13" t="n">
        <f aca="false">SUMIFS(Ledger!$G:$G,Ledger!$D:$D,TEXT(A37,"MMMM"),Ledger!$E:$E,YEAR(A37),Ledger!$F:$F,"Investment")</f>
        <v>0</v>
      </c>
      <c r="H37" s="13" t="n">
        <f aca="false">SUMIFS(Ledger!$G:$G,Ledger!$D:$D,TEXT(A37,"MMMM"),Ledger!$E:$E,YEAR(A37),Ledger!$J:$J,"EMIs")</f>
        <v>0</v>
      </c>
      <c r="I37" s="13" t="n">
        <f aca="false">SUMIFS(Ledger!$G:$G,Ledger!$D:$D,TEXT(A37,"MMMM"),Ledger!$E:$E,YEAR(A37),Ledger!$J:$J,"Rent")</f>
        <v>0</v>
      </c>
      <c r="J37" s="13" t="n">
        <f aca="false">SUMIFS(Ledger!$G:$G,Ledger!$D:$D,TEXT(A37,"MMMM"),Ledger!$E:$E,YEAR(A37),Ledger!$F:$F,"Credit Card Payment")</f>
        <v>0</v>
      </c>
      <c r="K37" s="13" t="n">
        <f aca="false">C37-D37-F37-G37</f>
        <v>0</v>
      </c>
      <c r="L37" s="28" t="str">
        <f aca="false">TEXT(A37,"MMMM YYYY")</f>
        <v>December 2027</v>
      </c>
    </row>
    <row r="38" customFormat="false" ht="15" hidden="false" customHeight="true" outlineLevel="0" collapsed="false">
      <c r="A38" s="37" t="n">
        <v>46753</v>
      </c>
      <c r="B38" s="38" t="n">
        <v>31000</v>
      </c>
      <c r="C38" s="13" t="n">
        <f aca="false">SUMIFS(Ledger!$G:$G,Ledger!$D:$D,TEXT(A38,"MMMM"),Ledger!$E:$E,YEAR(A38),Ledger!$F:$F,"Income")</f>
        <v>0</v>
      </c>
      <c r="D38" s="13" t="n">
        <f aca="false">SUMIFS(Ledger!$G:$G,Ledger!$D:$D,TEXT(A38,"MMMM"),Ledger!$E:$E,YEAR(A38),Ledger!$F:$F,"Expense",Ledger!$K:$K,TRUE())-SUMIFS(Ledger!$G:$G,Ledger!$D:$D,TEXT(A38,"MMMM"),Ledger!$E:$E,YEAR(A38),Ledger!$F:$F,"Refund",Ledger!$K:$K,TRUE())</f>
        <v>0</v>
      </c>
      <c r="E38" s="13" t="n">
        <f aca="false">B38-D38</f>
        <v>31000</v>
      </c>
      <c r="F38" s="13" t="n">
        <f aca="false">SUMIFS(Ledger!$G:$G,Ledger!$D:$D,TEXT(A38,"MMMM"),Ledger!$E:$E,YEAR(A38),Ledger!$F:$F,"Expense",Ledger!$K:$K,FALSE())</f>
        <v>0</v>
      </c>
      <c r="G38" s="13" t="n">
        <f aca="false">SUMIFS(Ledger!$G:$G,Ledger!$D:$D,TEXT(A38,"MMMM"),Ledger!$E:$E,YEAR(A38),Ledger!$F:$F,"Investment")</f>
        <v>0</v>
      </c>
      <c r="H38" s="13" t="n">
        <f aca="false">SUMIFS(Ledger!$G:$G,Ledger!$D:$D,TEXT(A38,"MMMM"),Ledger!$E:$E,YEAR(A38),Ledger!$J:$J,"EMIs")</f>
        <v>0</v>
      </c>
      <c r="I38" s="13" t="n">
        <f aca="false">SUMIFS(Ledger!$G:$G,Ledger!$D:$D,TEXT(A38,"MMMM"),Ledger!$E:$E,YEAR(A38),Ledger!$J:$J,"Rent")</f>
        <v>0</v>
      </c>
      <c r="J38" s="13" t="n">
        <f aca="false">SUMIFS(Ledger!$G:$G,Ledger!$D:$D,TEXT(A38,"MMMM"),Ledger!$E:$E,YEAR(A38),Ledger!$F:$F,"Credit Card Payment")</f>
        <v>0</v>
      </c>
      <c r="K38" s="13" t="n">
        <f aca="false">C38-D38-F38-G38</f>
        <v>0</v>
      </c>
      <c r="L38" s="28" t="str">
        <f aca="false">TEXT(A38,"MMMM YYYY")</f>
        <v>January 2028</v>
      </c>
    </row>
    <row r="39" customFormat="false" ht="15" hidden="false" customHeight="true" outlineLevel="0" collapsed="false">
      <c r="A39" s="37" t="n">
        <v>46784</v>
      </c>
      <c r="B39" s="38" t="n">
        <v>31000</v>
      </c>
      <c r="C39" s="13" t="n">
        <f aca="false">SUMIFS(Ledger!$G:$G,Ledger!$D:$D,TEXT(A39,"MMMM"),Ledger!$E:$E,YEAR(A39),Ledger!$F:$F,"Income")</f>
        <v>0</v>
      </c>
      <c r="D39" s="13" t="n">
        <f aca="false">SUMIFS(Ledger!$G:$G,Ledger!$D:$D,TEXT(A39,"MMMM"),Ledger!$E:$E,YEAR(A39),Ledger!$F:$F,"Expense",Ledger!$K:$K,TRUE())-SUMIFS(Ledger!$G:$G,Ledger!$D:$D,TEXT(A39,"MMMM"),Ledger!$E:$E,YEAR(A39),Ledger!$F:$F,"Refund",Ledger!$K:$K,TRUE())</f>
        <v>0</v>
      </c>
      <c r="E39" s="13" t="n">
        <f aca="false">B39-D39</f>
        <v>31000</v>
      </c>
      <c r="F39" s="13" t="n">
        <f aca="false">SUMIFS(Ledger!$G:$G,Ledger!$D:$D,TEXT(A39,"MMMM"),Ledger!$E:$E,YEAR(A39),Ledger!$F:$F,"Expense",Ledger!$K:$K,FALSE())</f>
        <v>0</v>
      </c>
      <c r="G39" s="13" t="n">
        <f aca="false">SUMIFS(Ledger!$G:$G,Ledger!$D:$D,TEXT(A39,"MMMM"),Ledger!$E:$E,YEAR(A39),Ledger!$F:$F,"Investment")</f>
        <v>0</v>
      </c>
      <c r="H39" s="13" t="n">
        <f aca="false">SUMIFS(Ledger!$G:$G,Ledger!$D:$D,TEXT(A39,"MMMM"),Ledger!$E:$E,YEAR(A39),Ledger!$J:$J,"EMIs")</f>
        <v>0</v>
      </c>
      <c r="I39" s="13" t="n">
        <f aca="false">SUMIFS(Ledger!$G:$G,Ledger!$D:$D,TEXT(A39,"MMMM"),Ledger!$E:$E,YEAR(A39),Ledger!$J:$J,"Rent")</f>
        <v>0</v>
      </c>
      <c r="J39" s="13" t="n">
        <f aca="false">SUMIFS(Ledger!$G:$G,Ledger!$D:$D,TEXT(A39,"MMMM"),Ledger!$E:$E,YEAR(A39),Ledger!$F:$F,"Credit Card Payment")</f>
        <v>0</v>
      </c>
      <c r="K39" s="13" t="n">
        <f aca="false">C39-D39-F39-G39</f>
        <v>0</v>
      </c>
      <c r="L39" s="28" t="str">
        <f aca="false">TEXT(A39,"MMMM YYYY")</f>
        <v>February 2028</v>
      </c>
    </row>
    <row r="40" customFormat="false" ht="15" hidden="false" customHeight="true" outlineLevel="0" collapsed="false">
      <c r="A40" s="37" t="n">
        <v>46813</v>
      </c>
      <c r="B40" s="38" t="n">
        <v>31000</v>
      </c>
      <c r="C40" s="13" t="n">
        <f aca="false">SUMIFS(Ledger!$G:$G,Ledger!$D:$D,TEXT(A40,"MMMM"),Ledger!$E:$E,YEAR(A40),Ledger!$F:$F,"Income")</f>
        <v>0</v>
      </c>
      <c r="D40" s="13" t="n">
        <f aca="false">SUMIFS(Ledger!$G:$G,Ledger!$D:$D,TEXT(A40,"MMMM"),Ledger!$E:$E,YEAR(A40),Ledger!$F:$F,"Expense",Ledger!$K:$K,TRUE())-SUMIFS(Ledger!$G:$G,Ledger!$D:$D,TEXT(A40,"MMMM"),Ledger!$E:$E,YEAR(A40),Ledger!$F:$F,"Refund",Ledger!$K:$K,TRUE())</f>
        <v>0</v>
      </c>
      <c r="E40" s="13" t="n">
        <f aca="false">B40-D40</f>
        <v>31000</v>
      </c>
      <c r="F40" s="13" t="n">
        <f aca="false">SUMIFS(Ledger!$G:$G,Ledger!$D:$D,TEXT(A40,"MMMM"),Ledger!$E:$E,YEAR(A40),Ledger!$F:$F,"Expense",Ledger!$K:$K,FALSE())</f>
        <v>0</v>
      </c>
      <c r="G40" s="13" t="n">
        <f aca="false">SUMIFS(Ledger!$G:$G,Ledger!$D:$D,TEXT(A40,"MMMM"),Ledger!$E:$E,YEAR(A40),Ledger!$F:$F,"Investment")</f>
        <v>0</v>
      </c>
      <c r="H40" s="13" t="n">
        <f aca="false">SUMIFS(Ledger!$G:$G,Ledger!$D:$D,TEXT(A40,"MMMM"),Ledger!$E:$E,YEAR(A40),Ledger!$J:$J,"EMIs")</f>
        <v>0</v>
      </c>
      <c r="I40" s="13" t="n">
        <f aca="false">SUMIFS(Ledger!$G:$G,Ledger!$D:$D,TEXT(A40,"MMMM"),Ledger!$E:$E,YEAR(A40),Ledger!$J:$J,"Rent")</f>
        <v>0</v>
      </c>
      <c r="J40" s="13" t="n">
        <f aca="false">SUMIFS(Ledger!$G:$G,Ledger!$D:$D,TEXT(A40,"MMMM"),Ledger!$E:$E,YEAR(A40),Ledger!$F:$F,"Credit Card Payment")</f>
        <v>0</v>
      </c>
      <c r="K40" s="13" t="n">
        <f aca="false">C40-D40-F40-G40</f>
        <v>0</v>
      </c>
      <c r="L40" s="28" t="str">
        <f aca="false">TEXT(A40,"MMMM YYYY")</f>
        <v>March 2028</v>
      </c>
    </row>
    <row r="41" customFormat="false" ht="15" hidden="false" customHeight="true" outlineLevel="0" collapsed="false">
      <c r="A41" s="37" t="n">
        <v>46844</v>
      </c>
      <c r="B41" s="38" t="n">
        <v>31000</v>
      </c>
      <c r="C41" s="13" t="n">
        <f aca="false">SUMIFS(Ledger!$G:$G,Ledger!$D:$D,TEXT(A41,"MMMM"),Ledger!$E:$E,YEAR(A41),Ledger!$F:$F,"Income")</f>
        <v>0</v>
      </c>
      <c r="D41" s="13" t="n">
        <f aca="false">SUMIFS(Ledger!$G:$G,Ledger!$D:$D,TEXT(A41,"MMMM"),Ledger!$E:$E,YEAR(A41),Ledger!$F:$F,"Expense",Ledger!$K:$K,TRUE())-SUMIFS(Ledger!$G:$G,Ledger!$D:$D,TEXT(A41,"MMMM"),Ledger!$E:$E,YEAR(A41),Ledger!$F:$F,"Refund",Ledger!$K:$K,TRUE())</f>
        <v>0</v>
      </c>
      <c r="E41" s="13" t="n">
        <f aca="false">B41-D41</f>
        <v>31000</v>
      </c>
      <c r="F41" s="13" t="n">
        <f aca="false">SUMIFS(Ledger!$G:$G,Ledger!$D:$D,TEXT(A41,"MMMM"),Ledger!$E:$E,YEAR(A41),Ledger!$F:$F,"Expense",Ledger!$K:$K,FALSE())</f>
        <v>0</v>
      </c>
      <c r="G41" s="13" t="n">
        <f aca="false">SUMIFS(Ledger!$G:$G,Ledger!$D:$D,TEXT(A41,"MMMM"),Ledger!$E:$E,YEAR(A41),Ledger!$F:$F,"Investment")</f>
        <v>0</v>
      </c>
      <c r="H41" s="13" t="n">
        <f aca="false">SUMIFS(Ledger!$G:$G,Ledger!$D:$D,TEXT(A41,"MMMM"),Ledger!$E:$E,YEAR(A41),Ledger!$J:$J,"EMIs")</f>
        <v>0</v>
      </c>
      <c r="I41" s="13" t="n">
        <f aca="false">SUMIFS(Ledger!$G:$G,Ledger!$D:$D,TEXT(A41,"MMMM"),Ledger!$E:$E,YEAR(A41),Ledger!$J:$J,"Rent")</f>
        <v>0</v>
      </c>
      <c r="J41" s="13" t="n">
        <f aca="false">SUMIFS(Ledger!$G:$G,Ledger!$D:$D,TEXT(A41,"MMMM"),Ledger!$E:$E,YEAR(A41),Ledger!$F:$F,"Credit Card Payment")</f>
        <v>0</v>
      </c>
      <c r="K41" s="13" t="n">
        <f aca="false">C41-D41-F41-G41</f>
        <v>0</v>
      </c>
      <c r="L41" s="28" t="str">
        <f aca="false">TEXT(A41,"MMMM YYYY")</f>
        <v>April 2028</v>
      </c>
    </row>
    <row r="42" customFormat="false" ht="15" hidden="false" customHeight="true" outlineLevel="0" collapsed="false">
      <c r="A42" s="37" t="n">
        <v>46874</v>
      </c>
      <c r="B42" s="38" t="n">
        <v>31000</v>
      </c>
      <c r="C42" s="13" t="n">
        <f aca="false">SUMIFS(Ledger!$G:$G,Ledger!$D:$D,TEXT(A42,"MMMM"),Ledger!$E:$E,YEAR(A42),Ledger!$F:$F,"Income")</f>
        <v>0</v>
      </c>
      <c r="D42" s="13" t="n">
        <f aca="false">SUMIFS(Ledger!$G:$G,Ledger!$D:$D,TEXT(A42,"MMMM"),Ledger!$E:$E,YEAR(A42),Ledger!$F:$F,"Expense",Ledger!$K:$K,TRUE())-SUMIFS(Ledger!$G:$G,Ledger!$D:$D,TEXT(A42,"MMMM"),Ledger!$E:$E,YEAR(A42),Ledger!$F:$F,"Refund",Ledger!$K:$K,TRUE())</f>
        <v>0</v>
      </c>
      <c r="E42" s="13" t="n">
        <f aca="false">B42-D42</f>
        <v>31000</v>
      </c>
      <c r="F42" s="13" t="n">
        <f aca="false">SUMIFS(Ledger!$G:$G,Ledger!$D:$D,TEXT(A42,"MMMM"),Ledger!$E:$E,YEAR(A42),Ledger!$F:$F,"Expense",Ledger!$K:$K,FALSE())</f>
        <v>0</v>
      </c>
      <c r="G42" s="13" t="n">
        <f aca="false">SUMIFS(Ledger!$G:$G,Ledger!$D:$D,TEXT(A42,"MMMM"),Ledger!$E:$E,YEAR(A42),Ledger!$F:$F,"Investment")</f>
        <v>0</v>
      </c>
      <c r="H42" s="13" t="n">
        <f aca="false">SUMIFS(Ledger!$G:$G,Ledger!$D:$D,TEXT(A42,"MMMM"),Ledger!$E:$E,YEAR(A42),Ledger!$J:$J,"EMIs")</f>
        <v>0</v>
      </c>
      <c r="I42" s="13" t="n">
        <f aca="false">SUMIFS(Ledger!$G:$G,Ledger!$D:$D,TEXT(A42,"MMMM"),Ledger!$E:$E,YEAR(A42),Ledger!$J:$J,"Rent")</f>
        <v>0</v>
      </c>
      <c r="J42" s="13" t="n">
        <f aca="false">SUMIFS(Ledger!$G:$G,Ledger!$D:$D,TEXT(A42,"MMMM"),Ledger!$E:$E,YEAR(A42),Ledger!$F:$F,"Credit Card Payment")</f>
        <v>0</v>
      </c>
      <c r="K42" s="13" t="n">
        <f aca="false">C42-D42-F42-G42</f>
        <v>0</v>
      </c>
      <c r="L42" s="28" t="str">
        <f aca="false">TEXT(A42,"MMMM YYYY")</f>
        <v>May 2028</v>
      </c>
    </row>
    <row r="43" customFormat="false" ht="15" hidden="false" customHeight="true" outlineLevel="0" collapsed="false">
      <c r="A43" s="37" t="n">
        <v>46905</v>
      </c>
      <c r="B43" s="38" t="n">
        <v>31000</v>
      </c>
      <c r="C43" s="13" t="n">
        <f aca="false">SUMIFS(Ledger!$G:$G,Ledger!$D:$D,TEXT(A43,"MMMM"),Ledger!$E:$E,YEAR(A43),Ledger!$F:$F,"Income")</f>
        <v>0</v>
      </c>
      <c r="D43" s="13" t="n">
        <f aca="false">SUMIFS(Ledger!$G:$G,Ledger!$D:$D,TEXT(A43,"MMMM"),Ledger!$E:$E,YEAR(A43),Ledger!$F:$F,"Expense",Ledger!$K:$K,TRUE())-SUMIFS(Ledger!$G:$G,Ledger!$D:$D,TEXT(A43,"MMMM"),Ledger!$E:$E,YEAR(A43),Ledger!$F:$F,"Refund",Ledger!$K:$K,TRUE())</f>
        <v>0</v>
      </c>
      <c r="E43" s="13" t="n">
        <f aca="false">B43-D43</f>
        <v>31000</v>
      </c>
      <c r="F43" s="13" t="n">
        <f aca="false">SUMIFS(Ledger!$G:$G,Ledger!$D:$D,TEXT(A43,"MMMM"),Ledger!$E:$E,YEAR(A43),Ledger!$F:$F,"Expense",Ledger!$K:$K,FALSE())</f>
        <v>0</v>
      </c>
      <c r="G43" s="13" t="n">
        <f aca="false">SUMIFS(Ledger!$G:$G,Ledger!$D:$D,TEXT(A43,"MMMM"),Ledger!$E:$E,YEAR(A43),Ledger!$F:$F,"Investment")</f>
        <v>0</v>
      </c>
      <c r="H43" s="13" t="n">
        <f aca="false">SUMIFS(Ledger!$G:$G,Ledger!$D:$D,TEXT(A43,"MMMM"),Ledger!$E:$E,YEAR(A43),Ledger!$J:$J,"EMIs")</f>
        <v>0</v>
      </c>
      <c r="I43" s="13" t="n">
        <f aca="false">SUMIFS(Ledger!$G:$G,Ledger!$D:$D,TEXT(A43,"MMMM"),Ledger!$E:$E,YEAR(A43),Ledger!$J:$J,"Rent")</f>
        <v>0</v>
      </c>
      <c r="J43" s="13" t="n">
        <f aca="false">SUMIFS(Ledger!$G:$G,Ledger!$D:$D,TEXT(A43,"MMMM"),Ledger!$E:$E,YEAR(A43),Ledger!$F:$F,"Credit Card Payment")</f>
        <v>0</v>
      </c>
      <c r="K43" s="13" t="n">
        <f aca="false">C43-D43-F43-G43</f>
        <v>0</v>
      </c>
      <c r="L43" s="28" t="str">
        <f aca="false">TEXT(A43,"MMMM YYYY")</f>
        <v>June 2028</v>
      </c>
    </row>
    <row r="44" customFormat="false" ht="15" hidden="false" customHeight="true" outlineLevel="0" collapsed="false">
      <c r="A44" s="37" t="n">
        <v>46935</v>
      </c>
      <c r="B44" s="38" t="n">
        <v>31000</v>
      </c>
      <c r="C44" s="13" t="n">
        <f aca="false">SUMIFS(Ledger!$G:$G,Ledger!$D:$D,TEXT(A44,"MMMM"),Ledger!$E:$E,YEAR(A44),Ledger!$F:$F,"Income")</f>
        <v>0</v>
      </c>
      <c r="D44" s="13" t="n">
        <f aca="false">SUMIFS(Ledger!$G:$G,Ledger!$D:$D,TEXT(A44,"MMMM"),Ledger!$E:$E,YEAR(A44),Ledger!$F:$F,"Expense",Ledger!$K:$K,TRUE())-SUMIFS(Ledger!$G:$G,Ledger!$D:$D,TEXT(A44,"MMMM"),Ledger!$E:$E,YEAR(A44),Ledger!$F:$F,"Refund",Ledger!$K:$K,TRUE())</f>
        <v>0</v>
      </c>
      <c r="E44" s="13" t="n">
        <f aca="false">B44-D44</f>
        <v>31000</v>
      </c>
      <c r="F44" s="13" t="n">
        <f aca="false">SUMIFS(Ledger!$G:$G,Ledger!$D:$D,TEXT(A44,"MMMM"),Ledger!$E:$E,YEAR(A44),Ledger!$F:$F,"Expense",Ledger!$K:$K,FALSE())</f>
        <v>0</v>
      </c>
      <c r="G44" s="13" t="n">
        <f aca="false">SUMIFS(Ledger!$G:$G,Ledger!$D:$D,TEXT(A44,"MMMM"),Ledger!$E:$E,YEAR(A44),Ledger!$F:$F,"Investment")</f>
        <v>0</v>
      </c>
      <c r="H44" s="13" t="n">
        <f aca="false">SUMIFS(Ledger!$G:$G,Ledger!$D:$D,TEXT(A44,"MMMM"),Ledger!$E:$E,YEAR(A44),Ledger!$J:$J,"EMIs")</f>
        <v>0</v>
      </c>
      <c r="I44" s="13" t="n">
        <f aca="false">SUMIFS(Ledger!$G:$G,Ledger!$D:$D,TEXT(A44,"MMMM"),Ledger!$E:$E,YEAR(A44),Ledger!$J:$J,"Rent")</f>
        <v>0</v>
      </c>
      <c r="J44" s="13" t="n">
        <f aca="false">SUMIFS(Ledger!$G:$G,Ledger!$D:$D,TEXT(A44,"MMMM"),Ledger!$E:$E,YEAR(A44),Ledger!$F:$F,"Credit Card Payment")</f>
        <v>0</v>
      </c>
      <c r="K44" s="13" t="n">
        <f aca="false">C44-D44-F44-G44</f>
        <v>0</v>
      </c>
      <c r="L44" s="28" t="str">
        <f aca="false">TEXT(A44,"MMMM YYYY")</f>
        <v>July 2028</v>
      </c>
    </row>
    <row r="45" customFormat="false" ht="15" hidden="false" customHeight="true" outlineLevel="0" collapsed="false">
      <c r="A45" s="37" t="n">
        <v>46966</v>
      </c>
      <c r="B45" s="38" t="n">
        <v>31000</v>
      </c>
      <c r="C45" s="13" t="n">
        <f aca="false">SUMIFS(Ledger!$G:$G,Ledger!$D:$D,TEXT(A45,"MMMM"),Ledger!$E:$E,YEAR(A45),Ledger!$F:$F,"Income")</f>
        <v>0</v>
      </c>
      <c r="D45" s="13" t="n">
        <f aca="false">SUMIFS(Ledger!$G:$G,Ledger!$D:$D,TEXT(A45,"MMMM"),Ledger!$E:$E,YEAR(A45),Ledger!$F:$F,"Expense",Ledger!$K:$K,TRUE())-SUMIFS(Ledger!$G:$G,Ledger!$D:$D,TEXT(A45,"MMMM"),Ledger!$E:$E,YEAR(A45),Ledger!$F:$F,"Refund",Ledger!$K:$K,TRUE())</f>
        <v>0</v>
      </c>
      <c r="E45" s="13" t="n">
        <f aca="false">B45-D45</f>
        <v>31000</v>
      </c>
      <c r="F45" s="13" t="n">
        <f aca="false">SUMIFS(Ledger!$G:$G,Ledger!$D:$D,TEXT(A45,"MMMM"),Ledger!$E:$E,YEAR(A45),Ledger!$F:$F,"Expense",Ledger!$K:$K,FALSE())</f>
        <v>0</v>
      </c>
      <c r="G45" s="13" t="n">
        <f aca="false">SUMIFS(Ledger!$G:$G,Ledger!$D:$D,TEXT(A45,"MMMM"),Ledger!$E:$E,YEAR(A45),Ledger!$F:$F,"Investment")</f>
        <v>0</v>
      </c>
      <c r="H45" s="13" t="n">
        <f aca="false">SUMIFS(Ledger!$G:$G,Ledger!$D:$D,TEXT(A45,"MMMM"),Ledger!$E:$E,YEAR(A45),Ledger!$J:$J,"EMIs")</f>
        <v>0</v>
      </c>
      <c r="I45" s="13" t="n">
        <f aca="false">SUMIFS(Ledger!$G:$G,Ledger!$D:$D,TEXT(A45,"MMMM"),Ledger!$E:$E,YEAR(A45),Ledger!$J:$J,"Rent")</f>
        <v>0</v>
      </c>
      <c r="J45" s="13" t="n">
        <f aca="false">SUMIFS(Ledger!$G:$G,Ledger!$D:$D,TEXT(A45,"MMMM"),Ledger!$E:$E,YEAR(A45),Ledger!$F:$F,"Credit Card Payment")</f>
        <v>0</v>
      </c>
      <c r="K45" s="13" t="n">
        <f aca="false">C45-D45-F45-G45</f>
        <v>0</v>
      </c>
      <c r="L45" s="28" t="str">
        <f aca="false">TEXT(A45,"MMMM YYYY")</f>
        <v>August 2028</v>
      </c>
    </row>
    <row r="46" customFormat="false" ht="15" hidden="false" customHeight="true" outlineLevel="0" collapsed="false">
      <c r="A46" s="37" t="n">
        <v>46997</v>
      </c>
      <c r="B46" s="38" t="n">
        <v>31000</v>
      </c>
      <c r="C46" s="13" t="n">
        <f aca="false">SUMIFS(Ledger!$G:$G,Ledger!$D:$D,TEXT(A46,"MMMM"),Ledger!$E:$E,YEAR(A46),Ledger!$F:$F,"Income")</f>
        <v>0</v>
      </c>
      <c r="D46" s="13" t="n">
        <f aca="false">SUMIFS(Ledger!$G:$G,Ledger!$D:$D,TEXT(A46,"MMMM"),Ledger!$E:$E,YEAR(A46),Ledger!$F:$F,"Expense",Ledger!$K:$K,TRUE())-SUMIFS(Ledger!$G:$G,Ledger!$D:$D,TEXT(A46,"MMMM"),Ledger!$E:$E,YEAR(A46),Ledger!$F:$F,"Refund",Ledger!$K:$K,TRUE())</f>
        <v>0</v>
      </c>
      <c r="E46" s="13" t="n">
        <f aca="false">B46-D46</f>
        <v>31000</v>
      </c>
      <c r="F46" s="13" t="n">
        <f aca="false">SUMIFS(Ledger!$G:$G,Ledger!$D:$D,TEXT(A46,"MMMM"),Ledger!$E:$E,YEAR(A46),Ledger!$F:$F,"Expense",Ledger!$K:$K,FALSE())</f>
        <v>0</v>
      </c>
      <c r="G46" s="13" t="n">
        <f aca="false">SUMIFS(Ledger!$G:$G,Ledger!$D:$D,TEXT(A46,"MMMM"),Ledger!$E:$E,YEAR(A46),Ledger!$F:$F,"Investment")</f>
        <v>0</v>
      </c>
      <c r="H46" s="13" t="n">
        <f aca="false">SUMIFS(Ledger!$G:$G,Ledger!$D:$D,TEXT(A46,"MMMM"),Ledger!$E:$E,YEAR(A46),Ledger!$J:$J,"EMIs")</f>
        <v>0</v>
      </c>
      <c r="I46" s="13" t="n">
        <f aca="false">SUMIFS(Ledger!$G:$G,Ledger!$D:$D,TEXT(A46,"MMMM"),Ledger!$E:$E,YEAR(A46),Ledger!$J:$J,"Rent")</f>
        <v>0</v>
      </c>
      <c r="J46" s="13" t="n">
        <f aca="false">SUMIFS(Ledger!$G:$G,Ledger!$D:$D,TEXT(A46,"MMMM"),Ledger!$E:$E,YEAR(A46),Ledger!$F:$F,"Credit Card Payment")</f>
        <v>0</v>
      </c>
      <c r="K46" s="13" t="n">
        <f aca="false">C46-D46-F46-G46</f>
        <v>0</v>
      </c>
      <c r="L46" s="28" t="str">
        <f aca="false">TEXT(A46,"MMMM YYYY")</f>
        <v>September 2028</v>
      </c>
    </row>
    <row r="47" customFormat="false" ht="15" hidden="false" customHeight="true" outlineLevel="0" collapsed="false">
      <c r="A47" s="37" t="n">
        <v>47027</v>
      </c>
      <c r="B47" s="38" t="n">
        <v>31000</v>
      </c>
      <c r="C47" s="13" t="n">
        <f aca="false">SUMIFS(Ledger!$G:$G,Ledger!$D:$D,TEXT(A47,"MMMM"),Ledger!$E:$E,YEAR(A47),Ledger!$F:$F,"Income")</f>
        <v>0</v>
      </c>
      <c r="D47" s="13" t="n">
        <f aca="false">SUMIFS(Ledger!$G:$G,Ledger!$D:$D,TEXT(A47,"MMMM"),Ledger!$E:$E,YEAR(A47),Ledger!$F:$F,"Expense",Ledger!$K:$K,TRUE())-SUMIFS(Ledger!$G:$G,Ledger!$D:$D,TEXT(A47,"MMMM"),Ledger!$E:$E,YEAR(A47),Ledger!$F:$F,"Refund",Ledger!$K:$K,TRUE())</f>
        <v>0</v>
      </c>
      <c r="E47" s="13" t="n">
        <f aca="false">B47-D47</f>
        <v>31000</v>
      </c>
      <c r="F47" s="13" t="n">
        <f aca="false">SUMIFS(Ledger!$G:$G,Ledger!$D:$D,TEXT(A47,"MMMM"),Ledger!$E:$E,YEAR(A47),Ledger!$F:$F,"Expense",Ledger!$K:$K,FALSE())</f>
        <v>0</v>
      </c>
      <c r="G47" s="13" t="n">
        <f aca="false">SUMIFS(Ledger!$G:$G,Ledger!$D:$D,TEXT(A47,"MMMM"),Ledger!$E:$E,YEAR(A47),Ledger!$F:$F,"Investment")</f>
        <v>0</v>
      </c>
      <c r="H47" s="13" t="n">
        <f aca="false">SUMIFS(Ledger!$G:$G,Ledger!$D:$D,TEXT(A47,"MMMM"),Ledger!$E:$E,YEAR(A47),Ledger!$J:$J,"EMIs")</f>
        <v>0</v>
      </c>
      <c r="I47" s="13" t="n">
        <f aca="false">SUMIFS(Ledger!$G:$G,Ledger!$D:$D,TEXT(A47,"MMMM"),Ledger!$E:$E,YEAR(A47),Ledger!$J:$J,"Rent")</f>
        <v>0</v>
      </c>
      <c r="J47" s="13" t="n">
        <f aca="false">SUMIFS(Ledger!$G:$G,Ledger!$D:$D,TEXT(A47,"MMMM"),Ledger!$E:$E,YEAR(A47),Ledger!$F:$F,"Credit Card Payment")</f>
        <v>0</v>
      </c>
      <c r="K47" s="13" t="n">
        <f aca="false">C47-D47-F47-G47</f>
        <v>0</v>
      </c>
      <c r="L47" s="28" t="str">
        <f aca="false">TEXT(A47,"MMMM YYYY")</f>
        <v>October 2028</v>
      </c>
    </row>
    <row r="48" customFormat="false" ht="15" hidden="false" customHeight="true" outlineLevel="0" collapsed="false">
      <c r="A48" s="37" t="n">
        <v>47058</v>
      </c>
      <c r="B48" s="38" t="n">
        <v>31000</v>
      </c>
      <c r="C48" s="13" t="n">
        <f aca="false">SUMIFS(Ledger!$G:$G,Ledger!$D:$D,TEXT(A48,"MMMM"),Ledger!$E:$E,YEAR(A48),Ledger!$F:$F,"Income")</f>
        <v>0</v>
      </c>
      <c r="D48" s="13" t="n">
        <f aca="false">SUMIFS(Ledger!$G:$G,Ledger!$D:$D,TEXT(A48,"MMMM"),Ledger!$E:$E,YEAR(A48),Ledger!$F:$F,"Expense",Ledger!$K:$K,TRUE())-SUMIFS(Ledger!$G:$G,Ledger!$D:$D,TEXT(A48,"MMMM"),Ledger!$E:$E,YEAR(A48),Ledger!$F:$F,"Refund",Ledger!$K:$K,TRUE())</f>
        <v>0</v>
      </c>
      <c r="E48" s="13" t="n">
        <f aca="false">B48-D48</f>
        <v>31000</v>
      </c>
      <c r="F48" s="13" t="n">
        <f aca="false">SUMIFS(Ledger!$G:$G,Ledger!$D:$D,TEXT(A48,"MMMM"),Ledger!$E:$E,YEAR(A48),Ledger!$F:$F,"Expense",Ledger!$K:$K,FALSE())</f>
        <v>0</v>
      </c>
      <c r="G48" s="13" t="n">
        <f aca="false">SUMIFS(Ledger!$G:$G,Ledger!$D:$D,TEXT(A48,"MMMM"),Ledger!$E:$E,YEAR(A48),Ledger!$F:$F,"Investment")</f>
        <v>0</v>
      </c>
      <c r="H48" s="13" t="n">
        <f aca="false">SUMIFS(Ledger!$G:$G,Ledger!$D:$D,TEXT(A48,"MMMM"),Ledger!$E:$E,YEAR(A48),Ledger!$J:$J,"EMIs")</f>
        <v>0</v>
      </c>
      <c r="I48" s="13" t="n">
        <f aca="false">SUMIFS(Ledger!$G:$G,Ledger!$D:$D,TEXT(A48,"MMMM"),Ledger!$E:$E,YEAR(A48),Ledger!$J:$J,"Rent")</f>
        <v>0</v>
      </c>
      <c r="J48" s="13" t="n">
        <f aca="false">SUMIFS(Ledger!$G:$G,Ledger!$D:$D,TEXT(A48,"MMMM"),Ledger!$E:$E,YEAR(A48),Ledger!$F:$F,"Credit Card Payment")</f>
        <v>0</v>
      </c>
      <c r="K48" s="13" t="n">
        <f aca="false">C48-D48-F48-G48</f>
        <v>0</v>
      </c>
      <c r="L48" s="28" t="str">
        <f aca="false">TEXT(A48,"MMMM YYYY")</f>
        <v>November 2028</v>
      </c>
    </row>
    <row r="49" customFormat="false" ht="15" hidden="false" customHeight="true" outlineLevel="0" collapsed="false">
      <c r="A49" s="37" t="n">
        <v>47088</v>
      </c>
      <c r="B49" s="38" t="n">
        <v>31000</v>
      </c>
      <c r="C49" s="13" t="n">
        <f aca="false">SUMIFS(Ledger!$G:$G,Ledger!$D:$D,TEXT(A49,"MMMM"),Ledger!$E:$E,YEAR(A49),Ledger!$F:$F,"Income")</f>
        <v>0</v>
      </c>
      <c r="D49" s="13" t="n">
        <f aca="false">SUMIFS(Ledger!$G:$G,Ledger!$D:$D,TEXT(A49,"MMMM"),Ledger!$E:$E,YEAR(A49),Ledger!$F:$F,"Expense",Ledger!$K:$K,TRUE())-SUMIFS(Ledger!$G:$G,Ledger!$D:$D,TEXT(A49,"MMMM"),Ledger!$E:$E,YEAR(A49),Ledger!$F:$F,"Refund",Ledger!$K:$K,TRUE())</f>
        <v>0</v>
      </c>
      <c r="E49" s="13" t="n">
        <f aca="false">B49-D49</f>
        <v>31000</v>
      </c>
      <c r="F49" s="13" t="n">
        <f aca="false">SUMIFS(Ledger!$G:$G,Ledger!$D:$D,TEXT(A49,"MMMM"),Ledger!$E:$E,YEAR(A49),Ledger!$F:$F,"Expense",Ledger!$K:$K,FALSE())</f>
        <v>0</v>
      </c>
      <c r="G49" s="13" t="n">
        <f aca="false">SUMIFS(Ledger!$G:$G,Ledger!$D:$D,TEXT(A49,"MMMM"),Ledger!$E:$E,YEAR(A49),Ledger!$F:$F,"Investment")</f>
        <v>0</v>
      </c>
      <c r="H49" s="13" t="n">
        <f aca="false">SUMIFS(Ledger!$G:$G,Ledger!$D:$D,TEXT(A49,"MMMM"),Ledger!$E:$E,YEAR(A49),Ledger!$J:$J,"EMIs")</f>
        <v>0</v>
      </c>
      <c r="I49" s="13" t="n">
        <f aca="false">SUMIFS(Ledger!$G:$G,Ledger!$D:$D,TEXT(A49,"MMMM"),Ledger!$E:$E,YEAR(A49),Ledger!$J:$J,"Rent")</f>
        <v>0</v>
      </c>
      <c r="J49" s="13" t="n">
        <f aca="false">SUMIFS(Ledger!$G:$G,Ledger!$D:$D,TEXT(A49,"MMMM"),Ledger!$E:$E,YEAR(A49),Ledger!$F:$F,"Credit Card Payment")</f>
        <v>0</v>
      </c>
      <c r="K49" s="13" t="n">
        <f aca="false">C49-D49-F49-G49</f>
        <v>0</v>
      </c>
      <c r="L49" s="28" t="str">
        <f aca="false">TEXT(A49,"MMMM YYYY")</f>
        <v>December 2028</v>
      </c>
    </row>
    <row r="50" customFormat="false" ht="15" hidden="false" customHeight="true" outlineLevel="0" collapsed="false">
      <c r="A50" s="37" t="n">
        <v>47119</v>
      </c>
      <c r="B50" s="38" t="n">
        <v>31000</v>
      </c>
      <c r="C50" s="13" t="n">
        <f aca="false">SUMIFS(Ledger!$G:$G,Ledger!$D:$D,TEXT(A50,"MMMM"),Ledger!$E:$E,YEAR(A50),Ledger!$F:$F,"Income")</f>
        <v>0</v>
      </c>
      <c r="D50" s="13" t="n">
        <f aca="false">SUMIFS(Ledger!$G:$G,Ledger!$D:$D,TEXT(A50,"MMMM"),Ledger!$E:$E,YEAR(A50),Ledger!$F:$F,"Expense",Ledger!$K:$K,TRUE())-SUMIFS(Ledger!$G:$G,Ledger!$D:$D,TEXT(A50,"MMMM"),Ledger!$E:$E,YEAR(A50),Ledger!$F:$F,"Refund",Ledger!$K:$K,TRUE())</f>
        <v>0</v>
      </c>
      <c r="E50" s="13" t="n">
        <f aca="false">B50-D50</f>
        <v>31000</v>
      </c>
      <c r="F50" s="13" t="n">
        <f aca="false">SUMIFS(Ledger!$G:$G,Ledger!$D:$D,TEXT(A50,"MMMM"),Ledger!$E:$E,YEAR(A50),Ledger!$F:$F,"Expense",Ledger!$K:$K,FALSE())</f>
        <v>0</v>
      </c>
      <c r="G50" s="13" t="n">
        <f aca="false">SUMIFS(Ledger!$G:$G,Ledger!$D:$D,TEXT(A50,"MMMM"),Ledger!$E:$E,YEAR(A50),Ledger!$F:$F,"Investment")</f>
        <v>0</v>
      </c>
      <c r="H50" s="13" t="n">
        <f aca="false">SUMIFS(Ledger!$G:$G,Ledger!$D:$D,TEXT(A50,"MMMM"),Ledger!$E:$E,YEAR(A50),Ledger!$J:$J,"EMIs")</f>
        <v>0</v>
      </c>
      <c r="I50" s="13" t="n">
        <f aca="false">SUMIFS(Ledger!$G:$G,Ledger!$D:$D,TEXT(A50,"MMMM"),Ledger!$E:$E,YEAR(A50),Ledger!$J:$J,"Rent")</f>
        <v>0</v>
      </c>
      <c r="J50" s="13" t="n">
        <f aca="false">SUMIFS(Ledger!$G:$G,Ledger!$D:$D,TEXT(A50,"MMMM"),Ledger!$E:$E,YEAR(A50),Ledger!$F:$F,"Credit Card Payment")</f>
        <v>0</v>
      </c>
      <c r="K50" s="13" t="n">
        <f aca="false">C50-D50-F50-G50</f>
        <v>0</v>
      </c>
      <c r="L50" s="28" t="str">
        <f aca="false">TEXT(A50,"MMMM YYYY")</f>
        <v>January 2029</v>
      </c>
    </row>
    <row r="51" customFormat="false" ht="15" hidden="false" customHeight="true" outlineLevel="0" collapsed="false">
      <c r="A51" s="37" t="n">
        <v>47150</v>
      </c>
      <c r="B51" s="38" t="n">
        <v>31000</v>
      </c>
      <c r="C51" s="13" t="n">
        <f aca="false">SUMIFS(Ledger!$G:$G,Ledger!$D:$D,TEXT(A51,"MMMM"),Ledger!$E:$E,YEAR(A51),Ledger!$F:$F,"Income")</f>
        <v>0</v>
      </c>
      <c r="D51" s="13" t="n">
        <f aca="false">SUMIFS(Ledger!$G:$G,Ledger!$D:$D,TEXT(A51,"MMMM"),Ledger!$E:$E,YEAR(A51),Ledger!$F:$F,"Expense",Ledger!$K:$K,TRUE())-SUMIFS(Ledger!$G:$G,Ledger!$D:$D,TEXT(A51,"MMMM"),Ledger!$E:$E,YEAR(A51),Ledger!$F:$F,"Refund",Ledger!$K:$K,TRUE())</f>
        <v>0</v>
      </c>
      <c r="E51" s="13" t="n">
        <f aca="false">B51-D51</f>
        <v>31000</v>
      </c>
      <c r="F51" s="13" t="n">
        <f aca="false">SUMIFS(Ledger!$G:$G,Ledger!$D:$D,TEXT(A51,"MMMM"),Ledger!$E:$E,YEAR(A51),Ledger!$F:$F,"Expense",Ledger!$K:$K,FALSE())</f>
        <v>0</v>
      </c>
      <c r="G51" s="13" t="n">
        <f aca="false">SUMIFS(Ledger!$G:$G,Ledger!$D:$D,TEXT(A51,"MMMM"),Ledger!$E:$E,YEAR(A51),Ledger!$F:$F,"Investment")</f>
        <v>0</v>
      </c>
      <c r="H51" s="13" t="n">
        <f aca="false">SUMIFS(Ledger!$G:$G,Ledger!$D:$D,TEXT(A51,"MMMM"),Ledger!$E:$E,YEAR(A51),Ledger!$J:$J,"EMIs")</f>
        <v>0</v>
      </c>
      <c r="I51" s="13" t="n">
        <f aca="false">SUMIFS(Ledger!$G:$G,Ledger!$D:$D,TEXT(A51,"MMMM"),Ledger!$E:$E,YEAR(A51),Ledger!$J:$J,"Rent")</f>
        <v>0</v>
      </c>
      <c r="J51" s="13" t="n">
        <f aca="false">SUMIFS(Ledger!$G:$G,Ledger!$D:$D,TEXT(A51,"MMMM"),Ledger!$E:$E,YEAR(A51),Ledger!$F:$F,"Credit Card Payment")</f>
        <v>0</v>
      </c>
      <c r="K51" s="13" t="n">
        <f aca="false">C51-D51-F51-G51</f>
        <v>0</v>
      </c>
      <c r="L51" s="28" t="str">
        <f aca="false">TEXT(A51,"MMMM YYYY")</f>
        <v>February 2029</v>
      </c>
    </row>
    <row r="52" customFormat="false" ht="15" hidden="false" customHeight="true" outlineLevel="0" collapsed="false">
      <c r="A52" s="37" t="n">
        <v>47178</v>
      </c>
      <c r="B52" s="38" t="n">
        <v>31000</v>
      </c>
      <c r="C52" s="13" t="n">
        <f aca="false">SUMIFS(Ledger!$G:$G,Ledger!$D:$D,TEXT(A52,"MMMM"),Ledger!$E:$E,YEAR(A52),Ledger!$F:$F,"Income")</f>
        <v>0</v>
      </c>
      <c r="D52" s="13" t="n">
        <f aca="false">SUMIFS(Ledger!$G:$G,Ledger!$D:$D,TEXT(A52,"MMMM"),Ledger!$E:$E,YEAR(A52),Ledger!$F:$F,"Expense",Ledger!$K:$K,TRUE())-SUMIFS(Ledger!$G:$G,Ledger!$D:$D,TEXT(A52,"MMMM"),Ledger!$E:$E,YEAR(A52),Ledger!$F:$F,"Refund",Ledger!$K:$K,TRUE())</f>
        <v>0</v>
      </c>
      <c r="E52" s="13" t="n">
        <f aca="false">B52-D52</f>
        <v>31000</v>
      </c>
      <c r="F52" s="13" t="n">
        <f aca="false">SUMIFS(Ledger!$G:$G,Ledger!$D:$D,TEXT(A52,"MMMM"),Ledger!$E:$E,YEAR(A52),Ledger!$F:$F,"Expense",Ledger!$K:$K,FALSE())</f>
        <v>0</v>
      </c>
      <c r="G52" s="13" t="n">
        <f aca="false">SUMIFS(Ledger!$G:$G,Ledger!$D:$D,TEXT(A52,"MMMM"),Ledger!$E:$E,YEAR(A52),Ledger!$F:$F,"Investment")</f>
        <v>0</v>
      </c>
      <c r="H52" s="13" t="n">
        <f aca="false">SUMIFS(Ledger!$G:$G,Ledger!$D:$D,TEXT(A52,"MMMM"),Ledger!$E:$E,YEAR(A52),Ledger!$J:$J,"EMIs")</f>
        <v>0</v>
      </c>
      <c r="I52" s="13" t="n">
        <f aca="false">SUMIFS(Ledger!$G:$G,Ledger!$D:$D,TEXT(A52,"MMMM"),Ledger!$E:$E,YEAR(A52),Ledger!$J:$J,"Rent")</f>
        <v>0</v>
      </c>
      <c r="J52" s="13" t="n">
        <f aca="false">SUMIFS(Ledger!$G:$G,Ledger!$D:$D,TEXT(A52,"MMMM"),Ledger!$E:$E,YEAR(A52),Ledger!$F:$F,"Credit Card Payment")</f>
        <v>0</v>
      </c>
      <c r="K52" s="13" t="n">
        <f aca="false">C52-D52-F52-G52</f>
        <v>0</v>
      </c>
      <c r="L52" s="28" t="str">
        <f aca="false">TEXT(A52,"MMMM YYYY")</f>
        <v>March 2029</v>
      </c>
    </row>
    <row r="53" customFormat="false" ht="15" hidden="false" customHeight="true" outlineLevel="0" collapsed="false">
      <c r="A53" s="37" t="n">
        <v>47209</v>
      </c>
      <c r="B53" s="38" t="n">
        <v>31000</v>
      </c>
      <c r="C53" s="13" t="n">
        <f aca="false">SUMIFS(Ledger!$G:$G,Ledger!$D:$D,TEXT(A53,"MMMM"),Ledger!$E:$E,YEAR(A53),Ledger!$F:$F,"Income")</f>
        <v>0</v>
      </c>
      <c r="D53" s="13" t="n">
        <f aca="false">SUMIFS(Ledger!$G:$G,Ledger!$D:$D,TEXT(A53,"MMMM"),Ledger!$E:$E,YEAR(A53),Ledger!$F:$F,"Expense",Ledger!$K:$K,TRUE())-SUMIFS(Ledger!$G:$G,Ledger!$D:$D,TEXT(A53,"MMMM"),Ledger!$E:$E,YEAR(A53),Ledger!$F:$F,"Refund",Ledger!$K:$K,TRUE())</f>
        <v>0</v>
      </c>
      <c r="E53" s="13" t="n">
        <f aca="false">B53-D53</f>
        <v>31000</v>
      </c>
      <c r="F53" s="13" t="n">
        <f aca="false">SUMIFS(Ledger!$G:$G,Ledger!$D:$D,TEXT(A53,"MMMM"),Ledger!$E:$E,YEAR(A53),Ledger!$F:$F,"Expense",Ledger!$K:$K,FALSE())</f>
        <v>0</v>
      </c>
      <c r="G53" s="13" t="n">
        <f aca="false">SUMIFS(Ledger!$G:$G,Ledger!$D:$D,TEXT(A53,"MMMM"),Ledger!$E:$E,YEAR(A53),Ledger!$F:$F,"Investment")</f>
        <v>0</v>
      </c>
      <c r="H53" s="13" t="n">
        <f aca="false">SUMIFS(Ledger!$G:$G,Ledger!$D:$D,TEXT(A53,"MMMM"),Ledger!$E:$E,YEAR(A53),Ledger!$J:$J,"EMIs")</f>
        <v>0</v>
      </c>
      <c r="I53" s="13" t="n">
        <f aca="false">SUMIFS(Ledger!$G:$G,Ledger!$D:$D,TEXT(A53,"MMMM"),Ledger!$E:$E,YEAR(A53),Ledger!$J:$J,"Rent")</f>
        <v>0</v>
      </c>
      <c r="J53" s="13" t="n">
        <f aca="false">SUMIFS(Ledger!$G:$G,Ledger!$D:$D,TEXT(A53,"MMMM"),Ledger!$E:$E,YEAR(A53),Ledger!$F:$F,"Credit Card Payment")</f>
        <v>0</v>
      </c>
      <c r="K53" s="13" t="n">
        <f aca="false">C53-D53-F53-G53</f>
        <v>0</v>
      </c>
      <c r="L53" s="28" t="str">
        <f aca="false">TEXT(A53,"MMMM YYYY")</f>
        <v>April 2029</v>
      </c>
    </row>
    <row r="54" customFormat="false" ht="15" hidden="false" customHeight="true" outlineLevel="0" collapsed="false">
      <c r="A54" s="37" t="n">
        <v>47239</v>
      </c>
      <c r="B54" s="38" t="n">
        <v>31000</v>
      </c>
      <c r="C54" s="13" t="n">
        <f aca="false">SUMIFS(Ledger!$G:$G,Ledger!$D:$D,TEXT(A54,"MMMM"),Ledger!$E:$E,YEAR(A54),Ledger!$F:$F,"Income")</f>
        <v>0</v>
      </c>
      <c r="D54" s="13" t="n">
        <f aca="false">SUMIFS(Ledger!$G:$G,Ledger!$D:$D,TEXT(A54,"MMMM"),Ledger!$E:$E,YEAR(A54),Ledger!$F:$F,"Expense",Ledger!$K:$K,TRUE())-SUMIFS(Ledger!$G:$G,Ledger!$D:$D,TEXT(A54,"MMMM"),Ledger!$E:$E,YEAR(A54),Ledger!$F:$F,"Refund",Ledger!$K:$K,TRUE())</f>
        <v>0</v>
      </c>
      <c r="E54" s="13" t="n">
        <f aca="false">B54-D54</f>
        <v>31000</v>
      </c>
      <c r="F54" s="13" t="n">
        <f aca="false">SUMIFS(Ledger!$G:$G,Ledger!$D:$D,TEXT(A54,"MMMM"),Ledger!$E:$E,YEAR(A54),Ledger!$F:$F,"Expense",Ledger!$K:$K,FALSE())</f>
        <v>0</v>
      </c>
      <c r="G54" s="13" t="n">
        <f aca="false">SUMIFS(Ledger!$G:$G,Ledger!$D:$D,TEXT(A54,"MMMM"),Ledger!$E:$E,YEAR(A54),Ledger!$F:$F,"Investment")</f>
        <v>0</v>
      </c>
      <c r="H54" s="13" t="n">
        <f aca="false">SUMIFS(Ledger!$G:$G,Ledger!$D:$D,TEXT(A54,"MMMM"),Ledger!$E:$E,YEAR(A54),Ledger!$J:$J,"EMIs")</f>
        <v>0</v>
      </c>
      <c r="I54" s="13" t="n">
        <f aca="false">SUMIFS(Ledger!$G:$G,Ledger!$D:$D,TEXT(A54,"MMMM"),Ledger!$E:$E,YEAR(A54),Ledger!$J:$J,"Rent")</f>
        <v>0</v>
      </c>
      <c r="J54" s="13" t="n">
        <f aca="false">SUMIFS(Ledger!$G:$G,Ledger!$D:$D,TEXT(A54,"MMMM"),Ledger!$E:$E,YEAR(A54),Ledger!$F:$F,"Credit Card Payment")</f>
        <v>0</v>
      </c>
      <c r="K54" s="13" t="n">
        <f aca="false">C54-D54-F54-G54</f>
        <v>0</v>
      </c>
      <c r="L54" s="28" t="str">
        <f aca="false">TEXT(A54,"MMMM YYYY")</f>
        <v>May 2029</v>
      </c>
    </row>
    <row r="55" customFormat="false" ht="15" hidden="false" customHeight="true" outlineLevel="0" collapsed="false">
      <c r="A55" s="37" t="n">
        <v>47270</v>
      </c>
      <c r="B55" s="38" t="n">
        <v>31000</v>
      </c>
      <c r="C55" s="13" t="n">
        <f aca="false">SUMIFS(Ledger!$G:$G,Ledger!$D:$D,TEXT(A55,"MMMM"),Ledger!$E:$E,YEAR(A55),Ledger!$F:$F,"Income")</f>
        <v>0</v>
      </c>
      <c r="D55" s="13" t="n">
        <f aca="false">SUMIFS(Ledger!$G:$G,Ledger!$D:$D,TEXT(A55,"MMMM"),Ledger!$E:$E,YEAR(A55),Ledger!$F:$F,"Expense",Ledger!$K:$K,TRUE())-SUMIFS(Ledger!$G:$G,Ledger!$D:$D,TEXT(A55,"MMMM"),Ledger!$E:$E,YEAR(A55),Ledger!$F:$F,"Refund",Ledger!$K:$K,TRUE())</f>
        <v>0</v>
      </c>
      <c r="E55" s="13" t="n">
        <f aca="false">B55-D55</f>
        <v>31000</v>
      </c>
      <c r="F55" s="13" t="n">
        <f aca="false">SUMIFS(Ledger!$G:$G,Ledger!$D:$D,TEXT(A55,"MMMM"),Ledger!$E:$E,YEAR(A55),Ledger!$F:$F,"Expense",Ledger!$K:$K,FALSE())</f>
        <v>0</v>
      </c>
      <c r="G55" s="13" t="n">
        <f aca="false">SUMIFS(Ledger!$G:$G,Ledger!$D:$D,TEXT(A55,"MMMM"),Ledger!$E:$E,YEAR(A55),Ledger!$F:$F,"Investment")</f>
        <v>0</v>
      </c>
      <c r="H55" s="13" t="n">
        <f aca="false">SUMIFS(Ledger!$G:$G,Ledger!$D:$D,TEXT(A55,"MMMM"),Ledger!$E:$E,YEAR(A55),Ledger!$J:$J,"EMIs")</f>
        <v>0</v>
      </c>
      <c r="I55" s="13" t="n">
        <f aca="false">SUMIFS(Ledger!$G:$G,Ledger!$D:$D,TEXT(A55,"MMMM"),Ledger!$E:$E,YEAR(A55),Ledger!$J:$J,"Rent")</f>
        <v>0</v>
      </c>
      <c r="J55" s="13" t="n">
        <f aca="false">SUMIFS(Ledger!$G:$G,Ledger!$D:$D,TEXT(A55,"MMMM"),Ledger!$E:$E,YEAR(A55),Ledger!$F:$F,"Credit Card Payment")</f>
        <v>0</v>
      </c>
      <c r="K55" s="13" t="n">
        <f aca="false">C55-D55-F55-G55</f>
        <v>0</v>
      </c>
      <c r="L55" s="28" t="str">
        <f aca="false">TEXT(A55,"MMMM YYYY")</f>
        <v>June 2029</v>
      </c>
    </row>
    <row r="56" customFormat="false" ht="15" hidden="false" customHeight="true" outlineLevel="0" collapsed="false">
      <c r="A56" s="37" t="n">
        <v>47300</v>
      </c>
      <c r="B56" s="38" t="n">
        <v>31000</v>
      </c>
      <c r="C56" s="13" t="n">
        <f aca="false">SUMIFS(Ledger!$G:$G,Ledger!$D:$D,TEXT(A56,"MMMM"),Ledger!$E:$E,YEAR(A56),Ledger!$F:$F,"Income")</f>
        <v>0</v>
      </c>
      <c r="D56" s="13" t="n">
        <f aca="false">SUMIFS(Ledger!$G:$G,Ledger!$D:$D,TEXT(A56,"MMMM"),Ledger!$E:$E,YEAR(A56),Ledger!$F:$F,"Expense",Ledger!$K:$K,TRUE())-SUMIFS(Ledger!$G:$G,Ledger!$D:$D,TEXT(A56,"MMMM"),Ledger!$E:$E,YEAR(A56),Ledger!$F:$F,"Refund",Ledger!$K:$K,TRUE())</f>
        <v>0</v>
      </c>
      <c r="E56" s="13" t="n">
        <f aca="false">B56-D56</f>
        <v>31000</v>
      </c>
      <c r="F56" s="13" t="n">
        <f aca="false">SUMIFS(Ledger!$G:$G,Ledger!$D:$D,TEXT(A56,"MMMM"),Ledger!$E:$E,YEAR(A56),Ledger!$F:$F,"Expense",Ledger!$K:$K,FALSE())</f>
        <v>0</v>
      </c>
      <c r="G56" s="13" t="n">
        <f aca="false">SUMIFS(Ledger!$G:$G,Ledger!$D:$D,TEXT(A56,"MMMM"),Ledger!$E:$E,YEAR(A56),Ledger!$F:$F,"Investment")</f>
        <v>0</v>
      </c>
      <c r="H56" s="13" t="n">
        <f aca="false">SUMIFS(Ledger!$G:$G,Ledger!$D:$D,TEXT(A56,"MMMM"),Ledger!$E:$E,YEAR(A56),Ledger!$J:$J,"EMIs")</f>
        <v>0</v>
      </c>
      <c r="I56" s="13" t="n">
        <f aca="false">SUMIFS(Ledger!$G:$G,Ledger!$D:$D,TEXT(A56,"MMMM"),Ledger!$E:$E,YEAR(A56),Ledger!$J:$J,"Rent")</f>
        <v>0</v>
      </c>
      <c r="J56" s="13" t="n">
        <f aca="false">SUMIFS(Ledger!$G:$G,Ledger!$D:$D,TEXT(A56,"MMMM"),Ledger!$E:$E,YEAR(A56),Ledger!$F:$F,"Credit Card Payment")</f>
        <v>0</v>
      </c>
      <c r="K56" s="13" t="n">
        <f aca="false">C56-D56-F56-G56</f>
        <v>0</v>
      </c>
      <c r="L56" s="28" t="str">
        <f aca="false">TEXT(A56,"MMMM YYYY")</f>
        <v>July 2029</v>
      </c>
    </row>
    <row r="57" customFormat="false" ht="15" hidden="false" customHeight="true" outlineLevel="0" collapsed="false">
      <c r="A57" s="37" t="n">
        <v>47331</v>
      </c>
      <c r="B57" s="38" t="n">
        <v>31000</v>
      </c>
      <c r="C57" s="13" t="n">
        <f aca="false">SUMIFS(Ledger!$G:$G,Ledger!$D:$D,TEXT(A57,"MMMM"),Ledger!$E:$E,YEAR(A57),Ledger!$F:$F,"Income")</f>
        <v>0</v>
      </c>
      <c r="D57" s="13" t="n">
        <f aca="false">SUMIFS(Ledger!$G:$G,Ledger!$D:$D,TEXT(A57,"MMMM"),Ledger!$E:$E,YEAR(A57),Ledger!$F:$F,"Expense",Ledger!$K:$K,TRUE())-SUMIFS(Ledger!$G:$G,Ledger!$D:$D,TEXT(A57,"MMMM"),Ledger!$E:$E,YEAR(A57),Ledger!$F:$F,"Refund",Ledger!$K:$K,TRUE())</f>
        <v>0</v>
      </c>
      <c r="E57" s="13" t="n">
        <f aca="false">B57-D57</f>
        <v>31000</v>
      </c>
      <c r="F57" s="13" t="n">
        <f aca="false">SUMIFS(Ledger!$G:$G,Ledger!$D:$D,TEXT(A57,"MMMM"),Ledger!$E:$E,YEAR(A57),Ledger!$F:$F,"Expense",Ledger!$K:$K,FALSE())</f>
        <v>0</v>
      </c>
      <c r="G57" s="13" t="n">
        <f aca="false">SUMIFS(Ledger!$G:$G,Ledger!$D:$D,TEXT(A57,"MMMM"),Ledger!$E:$E,YEAR(A57),Ledger!$F:$F,"Investment")</f>
        <v>0</v>
      </c>
      <c r="H57" s="13" t="n">
        <f aca="false">SUMIFS(Ledger!$G:$G,Ledger!$D:$D,TEXT(A57,"MMMM"),Ledger!$E:$E,YEAR(A57),Ledger!$J:$J,"EMIs")</f>
        <v>0</v>
      </c>
      <c r="I57" s="13" t="n">
        <f aca="false">SUMIFS(Ledger!$G:$G,Ledger!$D:$D,TEXT(A57,"MMMM"),Ledger!$E:$E,YEAR(A57),Ledger!$J:$J,"Rent")</f>
        <v>0</v>
      </c>
      <c r="J57" s="13" t="n">
        <f aca="false">SUMIFS(Ledger!$G:$G,Ledger!$D:$D,TEXT(A57,"MMMM"),Ledger!$E:$E,YEAR(A57),Ledger!$F:$F,"Credit Card Payment")</f>
        <v>0</v>
      </c>
      <c r="K57" s="13" t="n">
        <f aca="false">C57-D57-F57-G57</f>
        <v>0</v>
      </c>
      <c r="L57" s="28" t="str">
        <f aca="false">TEXT(A57,"MMMM YYYY")</f>
        <v>August 2029</v>
      </c>
    </row>
    <row r="58" customFormat="false" ht="15" hidden="false" customHeight="true" outlineLevel="0" collapsed="false">
      <c r="A58" s="37" t="n">
        <v>47362</v>
      </c>
      <c r="B58" s="38" t="n">
        <v>31000</v>
      </c>
      <c r="C58" s="13" t="n">
        <f aca="false">SUMIFS(Ledger!$G:$G,Ledger!$D:$D,TEXT(A58,"MMMM"),Ledger!$E:$E,YEAR(A58),Ledger!$F:$F,"Income")</f>
        <v>0</v>
      </c>
      <c r="D58" s="13" t="n">
        <f aca="false">SUMIFS(Ledger!$G:$G,Ledger!$D:$D,TEXT(A58,"MMMM"),Ledger!$E:$E,YEAR(A58),Ledger!$F:$F,"Expense",Ledger!$K:$K,TRUE())-SUMIFS(Ledger!$G:$G,Ledger!$D:$D,TEXT(A58,"MMMM"),Ledger!$E:$E,YEAR(A58),Ledger!$F:$F,"Refund",Ledger!$K:$K,TRUE())</f>
        <v>0</v>
      </c>
      <c r="E58" s="13" t="n">
        <f aca="false">B58-D58</f>
        <v>31000</v>
      </c>
      <c r="F58" s="13" t="n">
        <f aca="false">SUMIFS(Ledger!$G:$G,Ledger!$D:$D,TEXT(A58,"MMMM"),Ledger!$E:$E,YEAR(A58),Ledger!$F:$F,"Expense",Ledger!$K:$K,FALSE())</f>
        <v>0</v>
      </c>
      <c r="G58" s="13" t="n">
        <f aca="false">SUMIFS(Ledger!$G:$G,Ledger!$D:$D,TEXT(A58,"MMMM"),Ledger!$E:$E,YEAR(A58),Ledger!$F:$F,"Investment")</f>
        <v>0</v>
      </c>
      <c r="H58" s="13" t="n">
        <f aca="false">SUMIFS(Ledger!$G:$G,Ledger!$D:$D,TEXT(A58,"MMMM"),Ledger!$E:$E,YEAR(A58),Ledger!$J:$J,"EMIs")</f>
        <v>0</v>
      </c>
      <c r="I58" s="13" t="n">
        <f aca="false">SUMIFS(Ledger!$G:$G,Ledger!$D:$D,TEXT(A58,"MMMM"),Ledger!$E:$E,YEAR(A58),Ledger!$J:$J,"Rent")</f>
        <v>0</v>
      </c>
      <c r="J58" s="13" t="n">
        <f aca="false">SUMIFS(Ledger!$G:$G,Ledger!$D:$D,TEXT(A58,"MMMM"),Ledger!$E:$E,YEAR(A58),Ledger!$F:$F,"Credit Card Payment")</f>
        <v>0</v>
      </c>
      <c r="K58" s="13" t="n">
        <f aca="false">C58-D58-F58-G58</f>
        <v>0</v>
      </c>
      <c r="L58" s="28" t="str">
        <f aca="false">TEXT(A58,"MMMM YYYY")</f>
        <v>September 2029</v>
      </c>
    </row>
    <row r="59" customFormat="false" ht="15" hidden="false" customHeight="true" outlineLevel="0" collapsed="false">
      <c r="A59" s="37" t="n">
        <v>47392</v>
      </c>
      <c r="B59" s="38" t="n">
        <v>31000</v>
      </c>
      <c r="C59" s="13" t="n">
        <f aca="false">SUMIFS(Ledger!$G:$G,Ledger!$D:$D,TEXT(A59,"MMMM"),Ledger!$E:$E,YEAR(A59),Ledger!$F:$F,"Income")</f>
        <v>0</v>
      </c>
      <c r="D59" s="13" t="n">
        <f aca="false">SUMIFS(Ledger!$G:$G,Ledger!$D:$D,TEXT(A59,"MMMM"),Ledger!$E:$E,YEAR(A59),Ledger!$F:$F,"Expense",Ledger!$K:$K,TRUE())-SUMIFS(Ledger!$G:$G,Ledger!$D:$D,TEXT(A59,"MMMM"),Ledger!$E:$E,YEAR(A59),Ledger!$F:$F,"Refund",Ledger!$K:$K,TRUE())</f>
        <v>0</v>
      </c>
      <c r="E59" s="13" t="n">
        <f aca="false">B59-D59</f>
        <v>31000</v>
      </c>
      <c r="F59" s="13" t="n">
        <f aca="false">SUMIFS(Ledger!$G:$G,Ledger!$D:$D,TEXT(A59,"MMMM"),Ledger!$E:$E,YEAR(A59),Ledger!$F:$F,"Expense",Ledger!$K:$K,FALSE())</f>
        <v>0</v>
      </c>
      <c r="G59" s="13" t="n">
        <f aca="false">SUMIFS(Ledger!$G:$G,Ledger!$D:$D,TEXT(A59,"MMMM"),Ledger!$E:$E,YEAR(A59),Ledger!$F:$F,"Investment")</f>
        <v>0</v>
      </c>
      <c r="H59" s="13" t="n">
        <f aca="false">SUMIFS(Ledger!$G:$G,Ledger!$D:$D,TEXT(A59,"MMMM"),Ledger!$E:$E,YEAR(A59),Ledger!$J:$J,"EMIs")</f>
        <v>0</v>
      </c>
      <c r="I59" s="13" t="n">
        <f aca="false">SUMIFS(Ledger!$G:$G,Ledger!$D:$D,TEXT(A59,"MMMM"),Ledger!$E:$E,YEAR(A59),Ledger!$J:$J,"Rent")</f>
        <v>0</v>
      </c>
      <c r="J59" s="13" t="n">
        <f aca="false">SUMIFS(Ledger!$G:$G,Ledger!$D:$D,TEXT(A59,"MMMM"),Ledger!$E:$E,YEAR(A59),Ledger!$F:$F,"Credit Card Payment")</f>
        <v>0</v>
      </c>
      <c r="K59" s="13" t="n">
        <f aca="false">C59-D59-F59-G59</f>
        <v>0</v>
      </c>
      <c r="L59" s="28" t="str">
        <f aca="false">TEXT(A59,"MMMM YYYY")</f>
        <v>October 2029</v>
      </c>
    </row>
    <row r="60" customFormat="false" ht="15" hidden="false" customHeight="true" outlineLevel="0" collapsed="false">
      <c r="A60" s="37" t="n">
        <v>47423</v>
      </c>
      <c r="B60" s="38" t="n">
        <v>31000</v>
      </c>
      <c r="C60" s="13" t="n">
        <f aca="false">SUMIFS(Ledger!$G:$G,Ledger!$D:$D,TEXT(A60,"MMMM"),Ledger!$E:$E,YEAR(A60),Ledger!$F:$F,"Income")</f>
        <v>0</v>
      </c>
      <c r="D60" s="13" t="n">
        <f aca="false">SUMIFS(Ledger!$G:$G,Ledger!$D:$D,TEXT(A60,"MMMM"),Ledger!$E:$E,YEAR(A60),Ledger!$F:$F,"Expense",Ledger!$K:$K,TRUE())-SUMIFS(Ledger!$G:$G,Ledger!$D:$D,TEXT(A60,"MMMM"),Ledger!$E:$E,YEAR(A60),Ledger!$F:$F,"Refund",Ledger!$K:$K,TRUE())</f>
        <v>0</v>
      </c>
      <c r="E60" s="13" t="n">
        <f aca="false">B60-D60</f>
        <v>31000</v>
      </c>
      <c r="F60" s="13" t="n">
        <f aca="false">SUMIFS(Ledger!$G:$G,Ledger!$D:$D,TEXT(A60,"MMMM"),Ledger!$E:$E,YEAR(A60),Ledger!$F:$F,"Expense",Ledger!$K:$K,FALSE())</f>
        <v>0</v>
      </c>
      <c r="G60" s="13" t="n">
        <f aca="false">SUMIFS(Ledger!$G:$G,Ledger!$D:$D,TEXT(A60,"MMMM"),Ledger!$E:$E,YEAR(A60),Ledger!$F:$F,"Investment")</f>
        <v>0</v>
      </c>
      <c r="H60" s="13" t="n">
        <f aca="false">SUMIFS(Ledger!$G:$G,Ledger!$D:$D,TEXT(A60,"MMMM"),Ledger!$E:$E,YEAR(A60),Ledger!$J:$J,"EMIs")</f>
        <v>0</v>
      </c>
      <c r="I60" s="13" t="n">
        <f aca="false">SUMIFS(Ledger!$G:$G,Ledger!$D:$D,TEXT(A60,"MMMM"),Ledger!$E:$E,YEAR(A60),Ledger!$J:$J,"Rent")</f>
        <v>0</v>
      </c>
      <c r="J60" s="13" t="n">
        <f aca="false">SUMIFS(Ledger!$G:$G,Ledger!$D:$D,TEXT(A60,"MMMM"),Ledger!$E:$E,YEAR(A60),Ledger!$F:$F,"Credit Card Payment")</f>
        <v>0</v>
      </c>
      <c r="K60" s="13" t="n">
        <f aca="false">C60-D60-F60-G60</f>
        <v>0</v>
      </c>
      <c r="L60" s="28" t="str">
        <f aca="false">TEXT(A60,"MMMM YYYY")</f>
        <v>November 2029</v>
      </c>
    </row>
    <row r="61" customFormat="false" ht="15" hidden="false" customHeight="true" outlineLevel="0" collapsed="false">
      <c r="A61" s="37" t="n">
        <v>47453</v>
      </c>
      <c r="B61" s="38" t="n">
        <v>31000</v>
      </c>
      <c r="C61" s="13" t="n">
        <f aca="false">SUMIFS(Ledger!$G:$G,Ledger!$D:$D,TEXT(A61,"MMMM"),Ledger!$E:$E,YEAR(A61),Ledger!$F:$F,"Income")</f>
        <v>0</v>
      </c>
      <c r="D61" s="13" t="n">
        <f aca="false">SUMIFS(Ledger!$G:$G,Ledger!$D:$D,TEXT(A61,"MMMM"),Ledger!$E:$E,YEAR(A61),Ledger!$F:$F,"Expense",Ledger!$K:$K,TRUE())-SUMIFS(Ledger!$G:$G,Ledger!$D:$D,TEXT(A61,"MMMM"),Ledger!$E:$E,YEAR(A61),Ledger!$F:$F,"Refund",Ledger!$K:$K,TRUE())</f>
        <v>0</v>
      </c>
      <c r="E61" s="13" t="n">
        <f aca="false">B61-D61</f>
        <v>31000</v>
      </c>
      <c r="F61" s="13" t="n">
        <f aca="false">SUMIFS(Ledger!$G:$G,Ledger!$D:$D,TEXT(A61,"MMMM"),Ledger!$E:$E,YEAR(A61),Ledger!$F:$F,"Expense",Ledger!$K:$K,FALSE())</f>
        <v>0</v>
      </c>
      <c r="G61" s="13" t="n">
        <f aca="false">SUMIFS(Ledger!$G:$G,Ledger!$D:$D,TEXT(A61,"MMMM"),Ledger!$E:$E,YEAR(A61),Ledger!$F:$F,"Investment")</f>
        <v>0</v>
      </c>
      <c r="H61" s="13" t="n">
        <f aca="false">SUMIFS(Ledger!$G:$G,Ledger!$D:$D,TEXT(A61,"MMMM"),Ledger!$E:$E,YEAR(A61),Ledger!$J:$J,"EMIs")</f>
        <v>0</v>
      </c>
      <c r="I61" s="13" t="n">
        <f aca="false">SUMIFS(Ledger!$G:$G,Ledger!$D:$D,TEXT(A61,"MMMM"),Ledger!$E:$E,YEAR(A61),Ledger!$J:$J,"Rent")</f>
        <v>0</v>
      </c>
      <c r="J61" s="13" t="n">
        <f aca="false">SUMIFS(Ledger!$G:$G,Ledger!$D:$D,TEXT(A61,"MMMM"),Ledger!$E:$E,YEAR(A61),Ledger!$F:$F,"Credit Card Payment")</f>
        <v>0</v>
      </c>
      <c r="K61" s="13" t="n">
        <f aca="false">C61-D61-F61-G61</f>
        <v>0</v>
      </c>
      <c r="L61" s="28" t="str">
        <f aca="false">TEXT(A61,"MMMM YYYY")</f>
        <v>December 2029</v>
      </c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">
    <mergeCell ref="A2:L2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40"/>
  </cols>
  <sheetData>
    <row r="1" customFormat="false" ht="19.5" hidden="false" customHeight="true" outlineLevel="0" collapsed="false">
      <c r="A1" s="2" t="s">
        <v>153</v>
      </c>
    </row>
    <row r="2" customFormat="false" ht="15" hidden="false" customHeight="true" outlineLevel="0" collapsed="false">
      <c r="A2" s="18" t="s">
        <v>154</v>
      </c>
      <c r="B2" s="18"/>
      <c r="C2" s="18"/>
      <c r="D2" s="18"/>
      <c r="E2" s="18"/>
      <c r="F2" s="18"/>
      <c r="G2" s="18"/>
    </row>
    <row r="4" customFormat="false" ht="15.75" hidden="false" customHeight="true" outlineLevel="0" collapsed="false">
      <c r="A4" s="20" t="s">
        <v>73</v>
      </c>
      <c r="B4" s="20" t="s">
        <v>91</v>
      </c>
      <c r="C4" s="20" t="s">
        <v>155</v>
      </c>
      <c r="D4" s="20" t="s">
        <v>156</v>
      </c>
      <c r="E4" s="20" t="s">
        <v>157</v>
      </c>
      <c r="F4" s="20" t="s">
        <v>158</v>
      </c>
      <c r="G4" s="20" t="s">
        <v>96</v>
      </c>
    </row>
    <row r="5" customFormat="false" ht="15" hidden="false" customHeight="true" outlineLevel="0" collapsed="false">
      <c r="A5" s="28" t="str">
        <f aca="false">Configuration!A11</f>
        <v>HDFC Savings</v>
      </c>
      <c r="B5" s="28" t="str">
        <f aca="false">Configuration!B11</f>
        <v>Asset</v>
      </c>
      <c r="C5" s="13" t="n">
        <f aca="false">IF(B5="Liability",Configuration!C11+SUMIF(Ledger!$H:$H,A5,Ledger!$G:$G)-SUMIF(Ledger!$I:$I,A5,Ledger!$G:$G),Configuration!C11+SUMIF(Ledger!$I:$I,A5,Ledger!$G:$G)-SUMIF(Ledger!$H:$H,A5,Ledger!$G:$G))</f>
        <v>47649.45</v>
      </c>
      <c r="D5" s="38" t="n">
        <v>47649.45</v>
      </c>
      <c r="E5" s="13" t="n">
        <f aca="false">IF(D5="","",D5-C5)</f>
        <v>0</v>
      </c>
      <c r="F5" s="26" t="n">
        <v>46240</v>
      </c>
      <c r="G5" s="29" t="s">
        <v>159</v>
      </c>
    </row>
    <row r="6" customFormat="false" ht="15" hidden="false" customHeight="true" outlineLevel="0" collapsed="false">
      <c r="A6" s="28" t="str">
        <f aca="false">Configuration!A12</f>
        <v>ICICI Savings</v>
      </c>
      <c r="B6" s="28" t="str">
        <f aca="false">Configuration!B12</f>
        <v>Asset</v>
      </c>
      <c r="C6" s="13" t="n">
        <f aca="false">IF(B6="Liability",Configuration!C12+SUMIF(Ledger!$H:$H,A6,Ledger!$G:$G)-SUMIF(Ledger!$I:$I,A6,Ledger!$G:$G),Configuration!C12+SUMIF(Ledger!$I:$I,A6,Ledger!$G:$G)-SUMIF(Ledger!$H:$H,A6,Ledger!$G:$G))</f>
        <v>142.11</v>
      </c>
      <c r="D6" s="38" t="n">
        <v>142.11</v>
      </c>
      <c r="E6" s="13" t="n">
        <f aca="false">IF(D6="","",D6-C6)</f>
        <v>0</v>
      </c>
      <c r="F6" s="26" t="n">
        <v>46240</v>
      </c>
      <c r="G6" s="29" t="s">
        <v>160</v>
      </c>
    </row>
    <row r="7" customFormat="false" ht="15" hidden="false" customHeight="true" outlineLevel="0" collapsed="false">
      <c r="A7" s="28" t="str">
        <f aca="false">Configuration!A13</f>
        <v>Cash</v>
      </c>
      <c r="B7" s="28" t="str">
        <f aca="false">Configuration!B13</f>
        <v>Asset</v>
      </c>
      <c r="C7" s="13" t="n">
        <f aca="false">IF(B7="Liability",Configuration!C13+SUMIF(Ledger!$H:$H,A7,Ledger!$G:$G)-SUMIF(Ledger!$I:$I,A7,Ledger!$G:$G),Configuration!C13+SUMIF(Ledger!$I:$I,A7,Ledger!$G:$G)-SUMIF(Ledger!$H:$H,A7,Ledger!$G:$G))</f>
        <v>0</v>
      </c>
      <c r="D7" s="38"/>
      <c r="E7" s="13" t="str">
        <f aca="false">IF(D7="","",D7-C7)</f>
        <v/>
      </c>
      <c r="F7" s="26"/>
      <c r="G7" s="29"/>
    </row>
    <row r="8" customFormat="false" ht="15" hidden="false" customHeight="true" outlineLevel="0" collapsed="false">
      <c r="A8" s="28" t="str">
        <f aca="false">Configuration!A14</f>
        <v>Wallet</v>
      </c>
      <c r="B8" s="28" t="str">
        <f aca="false">Configuration!B14</f>
        <v>Asset</v>
      </c>
      <c r="C8" s="13" t="n">
        <f aca="false">IF(B8="Liability",Configuration!C14+SUMIF(Ledger!$H:$H,A8,Ledger!$G:$G)-SUMIF(Ledger!$I:$I,A8,Ledger!$G:$G),Configuration!C14+SUMIF(Ledger!$I:$I,A8,Ledger!$G:$G)-SUMIF(Ledger!$H:$H,A8,Ledger!$G:$G))</f>
        <v>0</v>
      </c>
      <c r="D8" s="38"/>
      <c r="E8" s="13" t="str">
        <f aca="false">IF(D8="","",D8-C8)</f>
        <v/>
      </c>
      <c r="F8" s="26"/>
      <c r="G8" s="29"/>
    </row>
    <row r="9" customFormat="false" ht="15" hidden="false" customHeight="true" outlineLevel="0" collapsed="false">
      <c r="A9" s="28" t="str">
        <f aca="false">Configuration!A15</f>
        <v>HDFC Credit Card</v>
      </c>
      <c r="B9" s="28" t="str">
        <f aca="false">Configuration!B15</f>
        <v>Liability</v>
      </c>
      <c r="C9" s="13" t="n">
        <f aca="false">IF(B9="Liability",Configuration!C15+SUMIF(Ledger!$H:$H,A9,Ledger!$G:$G)-SUMIF(Ledger!$I:$I,A9,Ledger!$G:$G),Configuration!C15+SUMIF(Ledger!$I:$I,A9,Ledger!$G:$G)-SUMIF(Ledger!$H:$H,A9,Ledger!$G:$G))</f>
        <v>32765.33</v>
      </c>
      <c r="D9" s="38" t="n">
        <v>31665.33</v>
      </c>
      <c r="E9" s="13" t="n">
        <f aca="false">IF(D9="","",D9-C9)</f>
        <v>-1100</v>
      </c>
      <c r="F9" s="26" t="n">
        <v>46240</v>
      </c>
      <c r="G9" s="29" t="s">
        <v>161</v>
      </c>
    </row>
    <row r="10" customFormat="false" ht="15" hidden="false" customHeight="true" outlineLevel="0" collapsed="false">
      <c r="A10" s="28" t="str">
        <f aca="false">Configuration!A16</f>
        <v>ICICI Credit Card</v>
      </c>
      <c r="B10" s="28" t="str">
        <f aca="false">Configuration!B16</f>
        <v>Liability</v>
      </c>
      <c r="C10" s="13" t="n">
        <f aca="false">IF(B10="Liability",Configuration!C16+SUMIF(Ledger!$H:$H,A10,Ledger!$G:$G)-SUMIF(Ledger!$I:$I,A10,Ledger!$G:$G),Configuration!C16+SUMIF(Ledger!$I:$I,A10,Ledger!$G:$G)-SUMIF(Ledger!$H:$H,A10,Ledger!$G:$G))</f>
        <v>3795.04</v>
      </c>
      <c r="D10" s="38" t="n">
        <v>3795.04</v>
      </c>
      <c r="E10" s="13" t="n">
        <f aca="false">IF(D10="","",D10-C10)</f>
        <v>0</v>
      </c>
      <c r="F10" s="26" t="n">
        <v>46240</v>
      </c>
      <c r="G10" s="29" t="s">
        <v>162</v>
      </c>
    </row>
    <row r="11" customFormat="false" ht="15" hidden="false" customHeight="true" outlineLevel="0" collapsed="false">
      <c r="A11" s="28" t="str">
        <f aca="false">Configuration!A17</f>
        <v>FD</v>
      </c>
      <c r="B11" s="28" t="str">
        <f aca="false">Configuration!B17</f>
        <v>Asset</v>
      </c>
      <c r="C11" s="13" t="n">
        <f aca="false">IF(B11="Liability",Configuration!C17+SUMIF(Ledger!$H:$H,A11,Ledger!$G:$G)-SUMIF(Ledger!$I:$I,A11,Ledger!$G:$G),Configuration!C17+SUMIF(Ledger!$I:$I,A11,Ledger!$G:$G)-SUMIF(Ledger!$H:$H,A11,Ledger!$G:$G))</f>
        <v>0</v>
      </c>
      <c r="D11" s="38"/>
      <c r="E11" s="13" t="str">
        <f aca="false">IF(D11="","",D11-C11)</f>
        <v/>
      </c>
      <c r="F11" s="26"/>
      <c r="G11" s="29"/>
    </row>
    <row r="12" customFormat="false" ht="15" hidden="false" customHeight="true" outlineLevel="0" collapsed="false">
      <c r="A12" s="28" t="str">
        <f aca="false">Configuration!A18</f>
        <v>Mutual Fund</v>
      </c>
      <c r="B12" s="28" t="str">
        <f aca="false">Configuration!B18</f>
        <v>Asset</v>
      </c>
      <c r="C12" s="13" t="n">
        <f aca="false">IF(B12="Liability",Configuration!C18+SUMIF(Ledger!$H:$H,A12,Ledger!$G:$G)-SUMIF(Ledger!$I:$I,A12,Ledger!$G:$G),Configuration!C18+SUMIF(Ledger!$I:$I,A12,Ledger!$G:$G)-SUMIF(Ledger!$H:$H,A12,Ledger!$G:$G))</f>
        <v>0</v>
      </c>
      <c r="D12" s="38"/>
      <c r="E12" s="13" t="str">
        <f aca="false">IF(D12="","",D12-C12)</f>
        <v/>
      </c>
      <c r="F12" s="26"/>
      <c r="G12" s="29"/>
    </row>
    <row r="13" customFormat="false" ht="15" hidden="false" customHeight="true" outlineLevel="0" collapsed="false">
      <c r="A13" s="28" t="str">
        <f aca="false">Configuration!A19</f>
        <v>Employer</v>
      </c>
      <c r="B13" s="28" t="str">
        <f aca="false">Configuration!B19</f>
        <v>Virtual</v>
      </c>
      <c r="C13" s="13" t="n">
        <f aca="false">IF(B13="Liability",Configuration!C19+SUMIF(Ledger!$H:$H,A13,Ledger!$G:$G)-SUMIF(Ledger!$I:$I,A13,Ledger!$G:$G),Configuration!C19+SUMIF(Ledger!$I:$I,A13,Ledger!$G:$G)-SUMIF(Ledger!$H:$H,A13,Ledger!$G:$G))</f>
        <v>-83167</v>
      </c>
      <c r="D13" s="38"/>
      <c r="E13" s="13" t="str">
        <f aca="false">IF(D13="","",D13-C13)</f>
        <v/>
      </c>
      <c r="F13" s="26"/>
      <c r="G13" s="29"/>
    </row>
    <row r="14" customFormat="false" ht="15" hidden="false" customHeight="true" outlineLevel="0" collapsed="false">
      <c r="A14" s="28" t="str">
        <f aca="false">Configuration!A20</f>
        <v>Expense</v>
      </c>
      <c r="B14" s="28" t="str">
        <f aca="false">Configuration!B20</f>
        <v>Virtual</v>
      </c>
      <c r="C14" s="13" t="n">
        <f aca="false">IF(B14="Liability",Configuration!C20+SUMIF(Ledger!$H:$H,A14,Ledger!$G:$G)-SUMIF(Ledger!$I:$I,A14,Ledger!$G:$G),Configuration!C20+SUMIF(Ledger!$I:$I,A14,Ledger!$G:$G)-SUMIF(Ledger!$H:$H,A14,Ledger!$G:$G))</f>
        <v>64206.37</v>
      </c>
      <c r="D14" s="38"/>
      <c r="E14" s="13" t="str">
        <f aca="false">IF(D14="","",D14-C14)</f>
        <v/>
      </c>
      <c r="F14" s="26"/>
      <c r="G14" s="29"/>
    </row>
    <row r="15" customFormat="false" ht="15" hidden="false" customHeight="true" outlineLevel="0" collapsed="false">
      <c r="A15" s="28" t="str">
        <f aca="false">Configuration!A21</f>
        <v>External</v>
      </c>
      <c r="B15" s="28" t="str">
        <f aca="false">Configuration!B21</f>
        <v>Virtual</v>
      </c>
      <c r="C15" s="13" t="n">
        <f aca="false">IF(B15="Liability",Configuration!C21+SUMIF(Ledger!$H:$H,A15,Ledger!$G:$G)-SUMIF(Ledger!$I:$I,A15,Ledger!$G:$G),Configuration!C21+SUMIF(Ledger!$I:$I,A15,Ledger!$G:$G)-SUMIF(Ledger!$H:$H,A15,Ledger!$G:$G))</f>
        <v>0</v>
      </c>
      <c r="D15" s="38"/>
      <c r="E15" s="13" t="str">
        <f aca="false">IF(D15="","",D15-C15)</f>
        <v/>
      </c>
      <c r="F15" s="26"/>
      <c r="G15" s="29"/>
    </row>
    <row r="18" customFormat="false" ht="15" hidden="false" customHeight="true" outlineLevel="0" collapsed="false">
      <c r="A18" s="39" t="s">
        <v>163</v>
      </c>
    </row>
    <row r="19" customFormat="false" ht="15" hidden="false" customHeight="true" outlineLevel="0" collapsed="false">
      <c r="A19" s="1" t="s">
        <v>164</v>
      </c>
    </row>
    <row r="20" customFormat="false" ht="15" hidden="false" customHeight="true" outlineLevel="0" collapsed="false">
      <c r="A20" s="1" t="s">
        <v>165</v>
      </c>
    </row>
    <row r="21" customFormat="false" ht="15" hidden="false" customHeight="true" outlineLevel="0" collapsed="false">
      <c r="A21" s="1" t="s">
        <v>166</v>
      </c>
    </row>
    <row r="22" customFormat="false" ht="15" hidden="false" customHeight="true" outlineLevel="0" collapsed="false">
      <c r="A22" s="1" t="s">
        <v>167</v>
      </c>
    </row>
    <row r="23" customFormat="false" ht="15" hidden="false" customHeight="true" outlineLevel="0" collapsed="false">
      <c r="A23" s="1" t="s">
        <v>168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E59" activeCellId="0" sqref="E59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6" min="6" style="1" width="36"/>
    <col collapsed="false" customWidth="true" hidden="false" outlineLevel="0" max="9" min="8" style="1" width="22"/>
    <col collapsed="false" customWidth="true" hidden="false" outlineLevel="0" max="10" min="10" style="1" width="70"/>
  </cols>
  <sheetData>
    <row r="1" customFormat="false" ht="19.5" hidden="false" customHeight="true" outlineLevel="0" collapsed="false">
      <c r="A1" s="2" t="s">
        <v>169</v>
      </c>
    </row>
    <row r="2" customFormat="false" ht="15" hidden="false" customHeight="true" outlineLevel="0" collapsed="false">
      <c r="A2" s="18" t="s">
        <v>170</v>
      </c>
      <c r="B2" s="18"/>
      <c r="C2" s="18"/>
      <c r="D2" s="18"/>
      <c r="E2" s="18"/>
      <c r="F2" s="18"/>
      <c r="G2" s="18"/>
    </row>
    <row r="4" customFormat="false" ht="15" hidden="false" customHeight="true" outlineLevel="0" collapsed="false">
      <c r="A4" s="4" t="s">
        <v>171</v>
      </c>
      <c r="B4" s="4"/>
      <c r="C4" s="4"/>
    </row>
    <row r="5" customFormat="false" ht="15.75" hidden="false" customHeight="true" outlineLevel="0" collapsed="false">
      <c r="A5" s="20" t="s">
        <v>172</v>
      </c>
      <c r="B5" s="20" t="s">
        <v>173</v>
      </c>
      <c r="C5" s="20" t="s">
        <v>96</v>
      </c>
    </row>
    <row r="6" customFormat="false" ht="15" hidden="false" customHeight="true" outlineLevel="0" collapsed="false">
      <c r="A6" s="1" t="s">
        <v>174</v>
      </c>
      <c r="B6" s="38" t="n">
        <v>31000</v>
      </c>
      <c r="C6" s="1" t="s">
        <v>175</v>
      </c>
    </row>
    <row r="7" customFormat="false" ht="15" hidden="false" customHeight="true" outlineLevel="0" collapsed="false">
      <c r="A7" s="28" t="s">
        <v>176</v>
      </c>
      <c r="B7" s="38" t="n">
        <v>83000</v>
      </c>
      <c r="C7" s="14" t="s">
        <v>177</v>
      </c>
    </row>
    <row r="8" customFormat="false" ht="15" hidden="false" customHeight="true" outlineLevel="0" collapsed="false">
      <c r="A8" s="4" t="s">
        <v>178</v>
      </c>
      <c r="B8" s="4"/>
      <c r="C8" s="4"/>
      <c r="D8" s="4"/>
      <c r="E8" s="4"/>
      <c r="F8" s="4"/>
      <c r="H8" s="33" t="s">
        <v>179</v>
      </c>
      <c r="I8" s="39" t="s">
        <v>180</v>
      </c>
    </row>
    <row r="9" customFormat="false" ht="15.75" hidden="false" customHeight="true" outlineLevel="0" collapsed="false">
      <c r="A9" s="18" t="s">
        <v>181</v>
      </c>
      <c r="B9" s="18"/>
      <c r="C9" s="18"/>
      <c r="D9" s="18"/>
      <c r="E9" s="18"/>
      <c r="F9" s="18"/>
      <c r="H9" s="40" t="s">
        <v>91</v>
      </c>
      <c r="I9" s="20" t="s">
        <v>91</v>
      </c>
      <c r="J9" s="20" t="s">
        <v>182</v>
      </c>
    </row>
    <row r="10" customFormat="false" ht="30.75" hidden="false" customHeight="true" outlineLevel="0" collapsed="false">
      <c r="A10" s="20" t="s">
        <v>73</v>
      </c>
      <c r="B10" s="20" t="s">
        <v>91</v>
      </c>
      <c r="C10" s="20" t="s">
        <v>183</v>
      </c>
      <c r="D10" s="20" t="s">
        <v>184</v>
      </c>
      <c r="E10" s="20" t="s">
        <v>185</v>
      </c>
      <c r="F10" s="20" t="s">
        <v>96</v>
      </c>
      <c r="H10" s="29" t="s">
        <v>49</v>
      </c>
      <c r="I10" s="28" t="s">
        <v>49</v>
      </c>
      <c r="J10" s="28" t="s">
        <v>186</v>
      </c>
    </row>
    <row r="11" customFormat="false" ht="15" hidden="false" customHeight="true" outlineLevel="0" collapsed="false">
      <c r="A11" s="29" t="s">
        <v>105</v>
      </c>
      <c r="B11" s="29" t="s">
        <v>187</v>
      </c>
      <c r="C11" s="38" t="n">
        <v>3851.96</v>
      </c>
      <c r="D11" s="30"/>
      <c r="E11" s="29" t="s">
        <v>188</v>
      </c>
      <c r="F11" s="29" t="s">
        <v>189</v>
      </c>
      <c r="H11" s="29" t="s">
        <v>98</v>
      </c>
      <c r="I11" s="28" t="s">
        <v>98</v>
      </c>
      <c r="J11" s="28" t="s">
        <v>190</v>
      </c>
    </row>
    <row r="12" customFormat="false" ht="15" hidden="false" customHeight="true" outlineLevel="0" collapsed="false">
      <c r="A12" s="29" t="s">
        <v>191</v>
      </c>
      <c r="B12" s="29" t="s">
        <v>187</v>
      </c>
      <c r="C12" s="38" t="n">
        <v>142.11</v>
      </c>
      <c r="D12" s="30"/>
      <c r="E12" s="29" t="s">
        <v>188</v>
      </c>
      <c r="F12" s="29" t="s">
        <v>192</v>
      </c>
      <c r="H12" s="29" t="s">
        <v>121</v>
      </c>
      <c r="I12" s="28" t="s">
        <v>121</v>
      </c>
      <c r="J12" s="28" t="s">
        <v>193</v>
      </c>
    </row>
    <row r="13" customFormat="false" ht="15" hidden="false" customHeight="true" outlineLevel="0" collapsed="false">
      <c r="A13" s="29" t="s">
        <v>194</v>
      </c>
      <c r="B13" s="29" t="s">
        <v>187</v>
      </c>
      <c r="C13" s="38" t="n">
        <v>0</v>
      </c>
      <c r="D13" s="30"/>
      <c r="E13" s="29" t="s">
        <v>188</v>
      </c>
      <c r="F13" s="29"/>
      <c r="H13" s="29" t="s">
        <v>118</v>
      </c>
      <c r="I13" s="28" t="s">
        <v>118</v>
      </c>
      <c r="J13" s="28" t="s">
        <v>195</v>
      </c>
    </row>
    <row r="14" customFormat="false" ht="15" hidden="false" customHeight="true" outlineLevel="0" collapsed="false">
      <c r="A14" s="29" t="s">
        <v>196</v>
      </c>
      <c r="B14" s="29" t="s">
        <v>187</v>
      </c>
      <c r="C14" s="38" t="n">
        <v>0</v>
      </c>
      <c r="D14" s="30"/>
      <c r="E14" s="29" t="s">
        <v>188</v>
      </c>
      <c r="F14" s="29" t="s">
        <v>197</v>
      </c>
      <c r="H14" s="29" t="s">
        <v>101</v>
      </c>
      <c r="I14" s="28" t="s">
        <v>101</v>
      </c>
      <c r="J14" s="28" t="s">
        <v>198</v>
      </c>
    </row>
    <row r="15" customFormat="false" ht="15" hidden="false" customHeight="true" outlineLevel="0" collapsed="false">
      <c r="A15" s="29" t="s">
        <v>10</v>
      </c>
      <c r="B15" s="29" t="s">
        <v>199</v>
      </c>
      <c r="C15" s="38" t="n">
        <v>0</v>
      </c>
      <c r="D15" s="38" t="n">
        <v>396000</v>
      </c>
      <c r="E15" s="29" t="s">
        <v>188</v>
      </c>
      <c r="F15" s="29" t="s">
        <v>200</v>
      </c>
      <c r="H15" s="29" t="s">
        <v>201</v>
      </c>
      <c r="I15" s="28" t="s">
        <v>201</v>
      </c>
      <c r="J15" s="28" t="s">
        <v>202</v>
      </c>
    </row>
    <row r="16" customFormat="false" ht="15" hidden="false" customHeight="true" outlineLevel="0" collapsed="false">
      <c r="A16" s="29" t="s">
        <v>11</v>
      </c>
      <c r="B16" s="29" t="s">
        <v>199</v>
      </c>
      <c r="C16" s="38" t="n">
        <v>11723.51</v>
      </c>
      <c r="D16" s="38" t="n">
        <v>100000</v>
      </c>
      <c r="E16" s="29" t="s">
        <v>188</v>
      </c>
      <c r="F16" s="29" t="s">
        <v>203</v>
      </c>
      <c r="H16" s="29" t="s">
        <v>204</v>
      </c>
      <c r="I16" s="28" t="s">
        <v>204</v>
      </c>
      <c r="J16" s="28" t="s">
        <v>205</v>
      </c>
    </row>
    <row r="17" customFormat="false" ht="15" hidden="false" customHeight="true" outlineLevel="0" collapsed="false">
      <c r="A17" s="29" t="s">
        <v>77</v>
      </c>
      <c r="B17" s="29" t="s">
        <v>187</v>
      </c>
      <c r="C17" s="38" t="n">
        <v>0</v>
      </c>
      <c r="D17" s="30"/>
      <c r="E17" s="29" t="s">
        <v>188</v>
      </c>
      <c r="F17" s="29" t="s">
        <v>206</v>
      </c>
    </row>
    <row r="18" customFormat="false" ht="15" hidden="false" customHeight="true" outlineLevel="0" collapsed="false">
      <c r="A18" s="29" t="s">
        <v>207</v>
      </c>
      <c r="B18" s="29" t="s">
        <v>187</v>
      </c>
      <c r="C18" s="38" t="n">
        <v>0</v>
      </c>
      <c r="D18" s="30"/>
      <c r="E18" s="29" t="s">
        <v>188</v>
      </c>
      <c r="F18" s="29" t="s">
        <v>57</v>
      </c>
    </row>
    <row r="19" customFormat="false" ht="15" hidden="false" customHeight="true" outlineLevel="0" collapsed="false">
      <c r="A19" s="29" t="s">
        <v>104</v>
      </c>
      <c r="B19" s="29" t="s">
        <v>208</v>
      </c>
      <c r="C19" s="38" t="n">
        <v>0</v>
      </c>
      <c r="D19" s="30"/>
      <c r="E19" s="29" t="s">
        <v>209</v>
      </c>
      <c r="F19" s="29" t="s">
        <v>210</v>
      </c>
    </row>
    <row r="20" customFormat="false" ht="15" hidden="false" customHeight="true" outlineLevel="0" collapsed="false">
      <c r="A20" s="29" t="s">
        <v>98</v>
      </c>
      <c r="B20" s="29" t="s">
        <v>208</v>
      </c>
      <c r="C20" s="38" t="n">
        <v>0</v>
      </c>
      <c r="D20" s="30"/>
      <c r="E20" s="29" t="s">
        <v>209</v>
      </c>
      <c r="F20" s="29" t="s">
        <v>211</v>
      </c>
    </row>
    <row r="21" customFormat="false" ht="15" hidden="false" customHeight="true" outlineLevel="0" collapsed="false">
      <c r="A21" s="29" t="s">
        <v>212</v>
      </c>
      <c r="B21" s="29" t="s">
        <v>208</v>
      </c>
      <c r="C21" s="38" t="n">
        <v>0</v>
      </c>
      <c r="D21" s="30"/>
      <c r="E21" s="29" t="s">
        <v>209</v>
      </c>
      <c r="F21" s="29" t="s">
        <v>213</v>
      </c>
    </row>
    <row r="24" customFormat="false" ht="15" hidden="false" customHeight="true" outlineLevel="0" collapsed="false">
      <c r="A24" s="4" t="s">
        <v>214</v>
      </c>
      <c r="B24" s="4"/>
      <c r="C24" s="4"/>
      <c r="D24" s="3"/>
      <c r="E24" s="3"/>
      <c r="F24" s="3"/>
    </row>
    <row r="25" customFormat="false" ht="33.75" hidden="false" customHeight="true" outlineLevel="0" collapsed="false">
      <c r="A25" s="41" t="s">
        <v>215</v>
      </c>
      <c r="B25" s="41"/>
      <c r="C25" s="41"/>
      <c r="D25" s="3"/>
      <c r="E25" s="3"/>
      <c r="F25" s="3"/>
    </row>
    <row r="26" customFormat="false" ht="15" hidden="false" customHeight="true" outlineLevel="0" collapsed="false">
      <c r="A26" s="20" t="s">
        <v>60</v>
      </c>
      <c r="B26" s="20" t="s">
        <v>216</v>
      </c>
      <c r="C26" s="20" t="s">
        <v>217</v>
      </c>
      <c r="D26" s="3"/>
      <c r="E26" s="3"/>
      <c r="F26" s="3"/>
    </row>
    <row r="27" customFormat="false" ht="15" hidden="false" customHeight="true" outlineLevel="0" collapsed="false">
      <c r="A27" s="42" t="s">
        <v>61</v>
      </c>
      <c r="B27" s="42" t="s">
        <v>218</v>
      </c>
      <c r="C27" s="42" t="s">
        <v>188</v>
      </c>
      <c r="D27" s="3"/>
      <c r="E27" s="3"/>
      <c r="F27" s="3"/>
    </row>
    <row r="28" customFormat="false" ht="15" hidden="false" customHeight="true" outlineLevel="0" collapsed="false">
      <c r="A28" s="42" t="s">
        <v>62</v>
      </c>
      <c r="B28" s="42" t="s">
        <v>218</v>
      </c>
      <c r="C28" s="42" t="s">
        <v>188</v>
      </c>
      <c r="D28" s="3"/>
      <c r="E28" s="3"/>
      <c r="F28" s="3"/>
    </row>
    <row r="29" customFormat="false" ht="15" hidden="false" customHeight="true" outlineLevel="0" collapsed="false">
      <c r="A29" s="42" t="s">
        <v>64</v>
      </c>
      <c r="B29" s="42" t="s">
        <v>218</v>
      </c>
      <c r="C29" s="42" t="s">
        <v>188</v>
      </c>
      <c r="D29" s="3"/>
      <c r="E29" s="3"/>
      <c r="F29" s="3"/>
    </row>
    <row r="30" customFormat="false" ht="15" hidden="false" customHeight="true" outlineLevel="0" collapsed="false">
      <c r="A30" s="42" t="s">
        <v>65</v>
      </c>
      <c r="B30" s="42" t="s">
        <v>218</v>
      </c>
      <c r="C30" s="42" t="s">
        <v>188</v>
      </c>
      <c r="D30" s="3"/>
      <c r="E30" s="3"/>
      <c r="F30" s="3"/>
    </row>
    <row r="31" customFormat="false" ht="15" hidden="false" customHeight="true" outlineLevel="0" collapsed="false">
      <c r="A31" s="42" t="s">
        <v>66</v>
      </c>
      <c r="B31" s="42" t="s">
        <v>218</v>
      </c>
      <c r="C31" s="42" t="s">
        <v>188</v>
      </c>
      <c r="D31" s="3"/>
      <c r="E31" s="3"/>
      <c r="F31" s="3"/>
    </row>
    <row r="32" customFormat="false" ht="15" hidden="false" customHeight="true" outlineLevel="0" collapsed="false">
      <c r="A32" s="42" t="s">
        <v>67</v>
      </c>
      <c r="B32" s="42" t="s">
        <v>219</v>
      </c>
      <c r="C32" s="42" t="s">
        <v>188</v>
      </c>
      <c r="D32" s="3"/>
      <c r="E32" s="3"/>
      <c r="F32" s="3"/>
    </row>
    <row r="33" customFormat="false" ht="15" hidden="false" customHeight="true" outlineLevel="0" collapsed="false">
      <c r="A33" s="42" t="s">
        <v>68</v>
      </c>
      <c r="B33" s="42" t="s">
        <v>219</v>
      </c>
      <c r="C33" s="42" t="s">
        <v>188</v>
      </c>
      <c r="D33" s="3"/>
      <c r="E33" s="3"/>
      <c r="F33" s="3"/>
    </row>
    <row r="34" customFormat="false" ht="15" hidden="false" customHeight="true" outlineLevel="0" collapsed="false">
      <c r="A34" s="42" t="s">
        <v>220</v>
      </c>
      <c r="B34" s="42" t="s">
        <v>219</v>
      </c>
      <c r="C34" s="42" t="s">
        <v>188</v>
      </c>
      <c r="D34" s="3"/>
      <c r="E34" s="3"/>
      <c r="F34" s="3"/>
    </row>
    <row r="35" customFormat="false" ht="15" hidden="false" customHeight="true" outlineLevel="0" collapsed="false">
      <c r="A35" s="42" t="s">
        <v>131</v>
      </c>
      <c r="B35" s="42" t="s">
        <v>219</v>
      </c>
      <c r="C35" s="42" t="s">
        <v>188</v>
      </c>
      <c r="D35" s="3"/>
      <c r="E35" s="3"/>
      <c r="F35" s="3"/>
    </row>
    <row r="36" customFormat="false" ht="15" hidden="false" customHeight="true" outlineLevel="0" collapsed="false">
      <c r="A36" s="42" t="s">
        <v>221</v>
      </c>
      <c r="B36" s="42" t="s">
        <v>219</v>
      </c>
      <c r="C36" s="42" t="s">
        <v>209</v>
      </c>
      <c r="D36" s="3"/>
      <c r="E36" s="3"/>
      <c r="F36" s="3"/>
    </row>
    <row r="37" customFormat="false" ht="15" hidden="false" customHeight="true" outlineLevel="0" collapsed="false">
      <c r="A37" s="42" t="s">
        <v>78</v>
      </c>
      <c r="B37" s="42" t="s">
        <v>222</v>
      </c>
      <c r="C37" s="42" t="s">
        <v>188</v>
      </c>
      <c r="D37" s="3"/>
      <c r="E37" s="3"/>
      <c r="F37" s="3"/>
    </row>
    <row r="38" customFormat="false" ht="15" hidden="false" customHeight="true" outlineLevel="0" collapsed="false">
      <c r="A38" s="42" t="s">
        <v>76</v>
      </c>
      <c r="B38" s="42" t="s">
        <v>222</v>
      </c>
      <c r="C38" s="42" t="s">
        <v>188</v>
      </c>
      <c r="D38" s="3"/>
      <c r="E38" s="3"/>
      <c r="F38" s="3"/>
    </row>
    <row r="39" customFormat="false" ht="15" hidden="false" customHeight="true" outlineLevel="0" collapsed="false">
      <c r="A39" s="42" t="s">
        <v>133</v>
      </c>
      <c r="B39" s="42" t="s">
        <v>222</v>
      </c>
      <c r="C39" s="42" t="s">
        <v>188</v>
      </c>
      <c r="D39" s="3"/>
      <c r="E39" s="3"/>
      <c r="F39" s="3"/>
    </row>
    <row r="40" customFormat="false" ht="15" hidden="false" customHeight="true" outlineLevel="0" collapsed="false">
      <c r="A40" s="42" t="s">
        <v>223</v>
      </c>
      <c r="B40" s="42" t="s">
        <v>222</v>
      </c>
      <c r="C40" s="42" t="s">
        <v>188</v>
      </c>
      <c r="D40" s="3"/>
      <c r="E40" s="3"/>
      <c r="F40" s="3"/>
    </row>
    <row r="41" customFormat="false" ht="15" hidden="false" customHeight="true" outlineLevel="0" collapsed="false">
      <c r="A41" s="42" t="s">
        <v>224</v>
      </c>
      <c r="B41" s="42" t="s">
        <v>222</v>
      </c>
      <c r="C41" s="42" t="s">
        <v>209</v>
      </c>
      <c r="D41" s="3"/>
      <c r="E41" s="3"/>
      <c r="F41" s="3"/>
    </row>
    <row r="42" customFormat="false" ht="15" hidden="false" customHeight="true" outlineLevel="0" collapsed="false">
      <c r="A42" s="42" t="s">
        <v>225</v>
      </c>
      <c r="B42" s="42" t="s">
        <v>222</v>
      </c>
      <c r="C42" s="42" t="s">
        <v>188</v>
      </c>
      <c r="D42" s="3"/>
      <c r="E42" s="3"/>
      <c r="F42" s="3"/>
    </row>
    <row r="43" customFormat="false" ht="15" hidden="false" customHeight="true" outlineLevel="0" collapsed="false">
      <c r="A43" s="42" t="s">
        <v>116</v>
      </c>
      <c r="B43" s="42" t="s">
        <v>222</v>
      </c>
      <c r="C43" s="42" t="s">
        <v>188</v>
      </c>
      <c r="D43" s="3"/>
      <c r="E43" s="3"/>
      <c r="F43" s="3"/>
    </row>
    <row r="44" customFormat="false" ht="15" hidden="false" customHeight="true" outlineLevel="0" collapsed="false">
      <c r="A44" s="42" t="s">
        <v>69</v>
      </c>
      <c r="B44" s="42" t="s">
        <v>226</v>
      </c>
      <c r="C44" s="42" t="s">
        <v>188</v>
      </c>
      <c r="D44" s="3"/>
      <c r="E44" s="3"/>
      <c r="F44" s="3"/>
    </row>
    <row r="45" customFormat="false" ht="15" hidden="false" customHeight="true" outlineLevel="0" collapsed="false">
      <c r="A45" s="42" t="s">
        <v>227</v>
      </c>
      <c r="B45" s="42" t="s">
        <v>226</v>
      </c>
      <c r="C45" s="42" t="s">
        <v>188</v>
      </c>
      <c r="D45" s="3"/>
      <c r="E45" s="3"/>
      <c r="F45" s="3"/>
    </row>
    <row r="46" customFormat="false" ht="15" hidden="false" customHeight="true" outlineLevel="0" collapsed="false">
      <c r="A46" s="42" t="s">
        <v>84</v>
      </c>
      <c r="B46" s="42" t="s">
        <v>226</v>
      </c>
      <c r="C46" s="42" t="s">
        <v>188</v>
      </c>
      <c r="D46" s="3"/>
      <c r="E46" s="3"/>
      <c r="F46" s="3"/>
    </row>
    <row r="47" customFormat="false" ht="15" hidden="false" customHeight="true" outlineLevel="0" collapsed="false">
      <c r="A47" s="42" t="s">
        <v>228</v>
      </c>
      <c r="B47" s="42" t="s">
        <v>226</v>
      </c>
      <c r="C47" s="42" t="s">
        <v>188</v>
      </c>
      <c r="D47" s="3"/>
      <c r="E47" s="3"/>
      <c r="F47" s="3"/>
    </row>
    <row r="48" customFormat="false" ht="15" hidden="false" customHeight="true" outlineLevel="0" collapsed="false">
      <c r="A48" s="42" t="s">
        <v>229</v>
      </c>
      <c r="B48" s="42" t="s">
        <v>226</v>
      </c>
      <c r="C48" s="42" t="s">
        <v>188</v>
      </c>
      <c r="D48" s="3"/>
      <c r="E48" s="3"/>
      <c r="F48" s="3"/>
    </row>
    <row r="49" customFormat="false" ht="15" hidden="false" customHeight="true" outlineLevel="0" collapsed="false">
      <c r="A49" s="42" t="s">
        <v>230</v>
      </c>
      <c r="B49" s="42" t="s">
        <v>226</v>
      </c>
      <c r="C49" s="42" t="s">
        <v>188</v>
      </c>
      <c r="D49" s="3"/>
      <c r="E49" s="3"/>
      <c r="F49" s="3"/>
    </row>
    <row r="50" customFormat="false" ht="15" hidden="false" customHeight="true" outlineLevel="0" collapsed="false">
      <c r="A50" s="42" t="s">
        <v>72</v>
      </c>
      <c r="B50" s="42" t="s">
        <v>231</v>
      </c>
      <c r="C50" s="42" t="s">
        <v>188</v>
      </c>
      <c r="D50" s="3"/>
      <c r="E50" s="3"/>
      <c r="F50" s="3"/>
    </row>
    <row r="51" customFormat="false" ht="15" hidden="false" customHeight="true" outlineLevel="0" collapsed="false">
      <c r="A51" s="42" t="s">
        <v>232</v>
      </c>
      <c r="B51" s="42" t="s">
        <v>231</v>
      </c>
      <c r="C51" s="42" t="s">
        <v>188</v>
      </c>
      <c r="D51" s="3"/>
      <c r="E51" s="3"/>
      <c r="F51" s="3"/>
    </row>
    <row r="52" customFormat="false" ht="15" hidden="false" customHeight="true" outlineLevel="0" collapsed="false">
      <c r="A52" s="42" t="s">
        <v>233</v>
      </c>
      <c r="B52" s="42" t="s">
        <v>231</v>
      </c>
      <c r="C52" s="42" t="s">
        <v>188</v>
      </c>
      <c r="D52" s="3"/>
      <c r="E52" s="3"/>
      <c r="F52" s="3"/>
    </row>
    <row r="53" customFormat="false" ht="15" hidden="false" customHeight="true" outlineLevel="0" collapsed="false">
      <c r="A53" s="42" t="s">
        <v>82</v>
      </c>
      <c r="B53" s="42" t="s">
        <v>231</v>
      </c>
      <c r="C53" s="42" t="s">
        <v>188</v>
      </c>
      <c r="D53" s="3"/>
      <c r="E53" s="3"/>
      <c r="F53" s="3"/>
    </row>
    <row r="54" customFormat="false" ht="15" hidden="false" customHeight="true" outlineLevel="0" collapsed="false">
      <c r="A54" s="42" t="s">
        <v>80</v>
      </c>
      <c r="B54" s="42" t="s">
        <v>231</v>
      </c>
      <c r="C54" s="42" t="s">
        <v>188</v>
      </c>
      <c r="D54" s="3"/>
      <c r="E54" s="3"/>
      <c r="F54" s="3"/>
    </row>
    <row r="55" customFormat="false" ht="15" hidden="false" customHeight="true" outlineLevel="0" collapsed="false">
      <c r="A55" s="42" t="s">
        <v>234</v>
      </c>
      <c r="B55" s="42" t="s">
        <v>231</v>
      </c>
      <c r="C55" s="42" t="s">
        <v>188</v>
      </c>
      <c r="D55" s="3"/>
      <c r="E55" s="3"/>
      <c r="F55" s="3"/>
    </row>
    <row r="56" customFormat="false" ht="15" hidden="false" customHeight="true" outlineLevel="0" collapsed="false">
      <c r="A56" s="42" t="s">
        <v>138</v>
      </c>
      <c r="B56" s="42" t="s">
        <v>235</v>
      </c>
      <c r="C56" s="42" t="s">
        <v>188</v>
      </c>
      <c r="D56" s="3"/>
      <c r="E56" s="3"/>
      <c r="F56" s="3"/>
    </row>
    <row r="57" customFormat="false" ht="15" hidden="false" customHeight="true" outlineLevel="0" collapsed="false">
      <c r="A57" s="42" t="s">
        <v>114</v>
      </c>
      <c r="B57" s="42" t="s">
        <v>226</v>
      </c>
      <c r="C57" s="42" t="s">
        <v>188</v>
      </c>
      <c r="D57" s="3"/>
      <c r="E57" s="3"/>
      <c r="F57" s="3"/>
    </row>
    <row r="58" customFormat="false" ht="15" hidden="false" customHeight="true" outlineLevel="0" collapsed="false">
      <c r="A58" s="42" t="s">
        <v>236</v>
      </c>
      <c r="B58" s="42" t="s">
        <v>231</v>
      </c>
      <c r="C58" s="42" t="s">
        <v>188</v>
      </c>
      <c r="D58" s="3"/>
      <c r="E58" s="3"/>
      <c r="F58" s="3"/>
    </row>
    <row r="59" customFormat="false" ht="15" hidden="false" customHeight="true" outlineLevel="0" collapsed="false">
      <c r="A59" s="42" t="s">
        <v>237</v>
      </c>
      <c r="B59" s="42" t="s">
        <v>231</v>
      </c>
      <c r="C59" s="42" t="s">
        <v>209</v>
      </c>
      <c r="D59" s="3"/>
      <c r="E59" s="3"/>
      <c r="F59" s="3"/>
    </row>
    <row r="60" customFormat="false" ht="15" hidden="false" customHeight="true" outlineLevel="0" collapsed="false">
      <c r="A60" s="42" t="s">
        <v>238</v>
      </c>
      <c r="B60" s="42" t="s">
        <v>231</v>
      </c>
      <c r="C60" s="42" t="s">
        <v>188</v>
      </c>
      <c r="D60" s="3"/>
      <c r="E60" s="3"/>
      <c r="F60" s="3"/>
    </row>
    <row r="61" customFormat="false" ht="15" hidden="false" customHeight="true" outlineLevel="0" collapsed="false">
      <c r="A61" s="42" t="s">
        <v>239</v>
      </c>
      <c r="B61" s="42" t="s">
        <v>231</v>
      </c>
      <c r="C61" s="42" t="s">
        <v>209</v>
      </c>
      <c r="D61" s="3"/>
      <c r="E61" s="3"/>
      <c r="F61" s="3"/>
    </row>
    <row r="62" customFormat="false" ht="15" hidden="false" customHeight="true" outlineLevel="0" collapsed="false">
      <c r="A62" s="42" t="s">
        <v>123</v>
      </c>
      <c r="B62" s="42" t="s">
        <v>240</v>
      </c>
      <c r="C62" s="42" t="s">
        <v>209</v>
      </c>
      <c r="D62" s="3"/>
      <c r="E62" s="3"/>
      <c r="F62" s="3"/>
    </row>
    <row r="63" customFormat="false" ht="15" hidden="false" customHeight="true" outlineLevel="0" collapsed="false">
      <c r="A63" s="42" t="s">
        <v>241</v>
      </c>
      <c r="B63" s="42" t="s">
        <v>240</v>
      </c>
      <c r="C63" s="42" t="s">
        <v>209</v>
      </c>
      <c r="D63" s="3"/>
      <c r="E63" s="3"/>
      <c r="F63" s="3"/>
    </row>
    <row r="64" customFormat="false" ht="15" hidden="false" customHeight="true" outlineLevel="0" collapsed="false">
      <c r="A64" s="42" t="s">
        <v>242</v>
      </c>
      <c r="B64" s="42" t="s">
        <v>240</v>
      </c>
      <c r="C64" s="42" t="s">
        <v>188</v>
      </c>
      <c r="D64" s="3"/>
      <c r="E64" s="3"/>
      <c r="F64" s="3"/>
    </row>
    <row r="65" customFormat="false" ht="15" hidden="false" customHeight="true" outlineLevel="0" collapsed="false">
      <c r="A65" s="42" t="s">
        <v>146</v>
      </c>
      <c r="B65" s="42" t="s">
        <v>243</v>
      </c>
      <c r="C65" s="42" t="s">
        <v>209</v>
      </c>
      <c r="D65" s="3"/>
      <c r="E65" s="3"/>
      <c r="F65" s="3"/>
    </row>
    <row r="66" customFormat="false" ht="15" hidden="false" customHeight="true" outlineLevel="0" collapsed="false">
      <c r="A66" s="42" t="s">
        <v>244</v>
      </c>
      <c r="B66" s="42" t="s">
        <v>243</v>
      </c>
      <c r="C66" s="42" t="s">
        <v>209</v>
      </c>
      <c r="D66" s="3"/>
      <c r="E66" s="3"/>
      <c r="F66" s="3"/>
    </row>
    <row r="67" customFormat="false" ht="15" hidden="false" customHeight="true" outlineLevel="0" collapsed="false">
      <c r="A67" s="42" t="s">
        <v>245</v>
      </c>
      <c r="B67" s="42" t="s">
        <v>243</v>
      </c>
      <c r="C67" s="42" t="s">
        <v>188</v>
      </c>
      <c r="D67" s="3"/>
      <c r="E67" s="3"/>
      <c r="F67" s="3"/>
    </row>
    <row r="68" customFormat="false" ht="15" hidden="false" customHeight="true" outlineLevel="0" collapsed="false">
      <c r="A68" s="42" t="s">
        <v>119</v>
      </c>
      <c r="B68" s="42" t="s">
        <v>243</v>
      </c>
      <c r="C68" s="42" t="s">
        <v>209</v>
      </c>
      <c r="D68" s="3"/>
      <c r="E68" s="3"/>
      <c r="F68" s="3"/>
    </row>
    <row r="69" customFormat="false" ht="15" hidden="false" customHeight="true" outlineLevel="0" collapsed="false">
      <c r="A69" s="42" t="s">
        <v>106</v>
      </c>
      <c r="B69" s="42" t="s">
        <v>49</v>
      </c>
      <c r="C69" s="42" t="s">
        <v>209</v>
      </c>
      <c r="D69" s="3"/>
      <c r="E69" s="3"/>
      <c r="F69" s="3"/>
    </row>
    <row r="70" customFormat="false" ht="15" hidden="false" customHeight="true" outlineLevel="0" collapsed="false">
      <c r="A70" s="42" t="s">
        <v>246</v>
      </c>
      <c r="B70" s="42" t="s">
        <v>49</v>
      </c>
      <c r="C70" s="42" t="s">
        <v>209</v>
      </c>
      <c r="D70" s="3"/>
      <c r="E70" s="3"/>
      <c r="F70" s="3"/>
    </row>
    <row r="71" customFormat="false" ht="15" hidden="false" customHeight="true" outlineLevel="0" collapsed="false">
      <c r="A71" s="42" t="s">
        <v>101</v>
      </c>
      <c r="B71" s="42" t="s">
        <v>49</v>
      </c>
      <c r="C71" s="42" t="s">
        <v>209</v>
      </c>
      <c r="D71" s="3"/>
      <c r="E71" s="3"/>
      <c r="F71" s="3"/>
    </row>
    <row r="72" customFormat="false" ht="15" hidden="false" customHeight="true" outlineLevel="0" collapsed="false">
      <c r="A72" s="42" t="s">
        <v>127</v>
      </c>
      <c r="B72" s="42" t="s">
        <v>49</v>
      </c>
      <c r="C72" s="42" t="s">
        <v>209</v>
      </c>
      <c r="D72" s="3"/>
      <c r="E72" s="3"/>
      <c r="F72" s="3"/>
    </row>
    <row r="73" customFormat="false" ht="15" hidden="false" customHeight="true" outlineLevel="0" collapsed="false">
      <c r="A73" s="42" t="s">
        <v>247</v>
      </c>
      <c r="B73" s="42" t="s">
        <v>49</v>
      </c>
      <c r="C73" s="42" t="s">
        <v>209</v>
      </c>
      <c r="D73" s="3"/>
      <c r="E73" s="3"/>
      <c r="F73" s="3"/>
    </row>
    <row r="74" customFormat="false" ht="15" hidden="false" customHeight="true" outlineLevel="0" collapsed="false">
      <c r="A74" s="42" t="s">
        <v>248</v>
      </c>
      <c r="B74" s="42" t="s">
        <v>49</v>
      </c>
      <c r="C74" s="42" t="s">
        <v>209</v>
      </c>
      <c r="D74" s="3"/>
      <c r="E74" s="3"/>
      <c r="F74" s="3"/>
    </row>
    <row r="75" customFormat="false" ht="15" hidden="false" customHeight="true" outlineLevel="0" collapsed="false">
      <c r="A75" s="42" t="s">
        <v>249</v>
      </c>
      <c r="B75" s="42" t="s">
        <v>250</v>
      </c>
      <c r="C75" s="42" t="s">
        <v>209</v>
      </c>
      <c r="D75" s="3"/>
      <c r="E75" s="3"/>
      <c r="F75" s="3"/>
    </row>
    <row r="76" customFormat="false" ht="15" hidden="false" customHeight="true" outlineLevel="0" collapsed="false">
      <c r="A76" s="42" t="s">
        <v>251</v>
      </c>
      <c r="B76" s="42" t="s">
        <v>250</v>
      </c>
      <c r="C76" s="42" t="s">
        <v>209</v>
      </c>
      <c r="D76" s="3"/>
      <c r="E76" s="3"/>
      <c r="F76" s="3"/>
    </row>
    <row r="77" customFormat="false" ht="15" hidden="false" customHeight="true" outlineLevel="0" collapsed="false">
      <c r="A77" s="42" t="s">
        <v>201</v>
      </c>
      <c r="B77" s="42" t="s">
        <v>250</v>
      </c>
      <c r="C77" s="42" t="s">
        <v>209</v>
      </c>
      <c r="D77" s="3"/>
      <c r="E77" s="3"/>
      <c r="F77" s="3"/>
    </row>
    <row r="78" customFormat="false" ht="15" hidden="false" customHeight="true" outlineLevel="0" collapsed="false">
      <c r="A78" s="42" t="s">
        <v>121</v>
      </c>
      <c r="B78" s="42" t="s">
        <v>250</v>
      </c>
      <c r="C78" s="42" t="s">
        <v>209</v>
      </c>
      <c r="D78" s="3"/>
      <c r="E78" s="3"/>
      <c r="F78" s="3"/>
    </row>
    <row r="79" customFormat="false" ht="15" hidden="false" customHeight="true" outlineLevel="0" collapsed="false">
      <c r="A79" s="42" t="s">
        <v>252</v>
      </c>
      <c r="B79" s="42" t="s">
        <v>250</v>
      </c>
      <c r="C79" s="42" t="s">
        <v>209</v>
      </c>
      <c r="D79" s="3"/>
      <c r="E79" s="3"/>
      <c r="F79" s="3"/>
    </row>
    <row r="80" customFormat="false" ht="15" hidden="false" customHeight="true" outlineLevel="0" collapsed="false">
      <c r="A80" s="42" t="s">
        <v>85</v>
      </c>
      <c r="B80" s="42" t="s">
        <v>85</v>
      </c>
      <c r="C80" s="42" t="s">
        <v>188</v>
      </c>
      <c r="D80" s="3"/>
      <c r="E80" s="3"/>
      <c r="F80" s="3"/>
    </row>
    <row r="81" customFormat="false" ht="15" hidden="false" customHeight="true" outlineLevel="0" collapsed="false">
      <c r="A81" s="42"/>
      <c r="B81" s="42"/>
      <c r="C81" s="42"/>
      <c r="D81" s="3"/>
      <c r="E81" s="3"/>
      <c r="F81" s="3"/>
    </row>
    <row r="82" customFormat="false" ht="15" hidden="false" customHeight="true" outlineLevel="0" collapsed="false">
      <c r="A82" s="42"/>
      <c r="B82" s="42"/>
      <c r="C82" s="42"/>
      <c r="D82" s="3"/>
      <c r="E82" s="3"/>
      <c r="F82" s="3"/>
    </row>
    <row r="83" customFormat="false" ht="15" hidden="false" customHeight="true" outlineLevel="0" collapsed="false">
      <c r="A83" s="42"/>
      <c r="B83" s="42"/>
      <c r="C83" s="42"/>
      <c r="D83" s="3"/>
      <c r="E83" s="3"/>
      <c r="F83" s="3"/>
    </row>
    <row r="84" customFormat="false" ht="15" hidden="false" customHeight="true" outlineLevel="0" collapsed="false">
      <c r="A84" s="42"/>
      <c r="B84" s="42"/>
      <c r="C84" s="42"/>
      <c r="D84" s="3"/>
      <c r="E84" s="3"/>
      <c r="F84" s="3"/>
    </row>
    <row r="85" customFormat="false" ht="15" hidden="false" customHeight="true" outlineLevel="0" collapsed="false">
      <c r="A85" s="42"/>
      <c r="B85" s="42"/>
      <c r="C85" s="42"/>
      <c r="D85" s="3"/>
      <c r="E85" s="3"/>
      <c r="F85" s="3"/>
    </row>
    <row r="86" customFormat="false" ht="15" hidden="false" customHeight="true" outlineLevel="0" collapsed="false">
      <c r="A86" s="42"/>
      <c r="B86" s="42"/>
      <c r="C86" s="42"/>
      <c r="D86" s="3"/>
      <c r="E86" s="3"/>
      <c r="F86" s="3"/>
    </row>
    <row r="87" customFormat="false" ht="15" hidden="false" customHeight="true" outlineLevel="0" collapsed="false">
      <c r="A87" s="42"/>
      <c r="B87" s="42"/>
      <c r="C87" s="42"/>
      <c r="D87" s="3"/>
      <c r="E87" s="3"/>
      <c r="F87" s="3"/>
    </row>
    <row r="88" customFormat="false" ht="15" hidden="false" customHeight="true" outlineLevel="0" collapsed="false">
      <c r="A88" s="42"/>
      <c r="B88" s="42"/>
      <c r="C88" s="42"/>
      <c r="D88" s="3"/>
      <c r="E88" s="3"/>
      <c r="F88" s="3"/>
    </row>
    <row r="89" customFormat="false" ht="15" hidden="false" customHeight="true" outlineLevel="0" collapsed="false">
      <c r="A89" s="42"/>
      <c r="B89" s="42"/>
      <c r="C89" s="42"/>
      <c r="D89" s="3"/>
      <c r="E89" s="3"/>
      <c r="F89" s="3"/>
    </row>
    <row r="90" customFormat="false" ht="15" hidden="false" customHeight="true" outlineLevel="0" collapsed="false">
      <c r="A90" s="42"/>
      <c r="B90" s="42"/>
      <c r="C90" s="42"/>
      <c r="D90" s="3"/>
      <c r="E90" s="3"/>
      <c r="F90" s="3"/>
    </row>
    <row r="91" customFormat="false" ht="15" hidden="false" customHeight="true" outlineLevel="0" collapsed="false">
      <c r="A91" s="42"/>
      <c r="B91" s="42"/>
      <c r="C91" s="42"/>
      <c r="D91" s="3"/>
      <c r="E91" s="3"/>
      <c r="F91" s="3"/>
    </row>
    <row r="92" customFormat="false" ht="15" hidden="false" customHeight="true" outlineLevel="0" collapsed="false">
      <c r="A92" s="42"/>
      <c r="B92" s="42"/>
      <c r="C92" s="42"/>
      <c r="D92" s="3"/>
      <c r="E92" s="3"/>
      <c r="F92" s="3"/>
    </row>
    <row r="93" customFormat="false" ht="15" hidden="false" customHeight="true" outlineLevel="0" collapsed="false">
      <c r="A93" s="42"/>
      <c r="B93" s="42"/>
      <c r="C93" s="42"/>
      <c r="D93" s="3"/>
      <c r="E93" s="3"/>
      <c r="F93" s="3"/>
    </row>
    <row r="94" customFormat="false" ht="15" hidden="false" customHeight="true" outlineLevel="0" collapsed="false">
      <c r="A94" s="42"/>
      <c r="B94" s="42"/>
      <c r="C94" s="42"/>
      <c r="D94" s="3"/>
      <c r="E94" s="3"/>
      <c r="F94" s="3"/>
    </row>
    <row r="95" customFormat="false" ht="15" hidden="false" customHeight="true" outlineLevel="0" collapsed="false">
      <c r="A95" s="42"/>
      <c r="B95" s="42"/>
      <c r="C95" s="42"/>
      <c r="D95" s="3"/>
      <c r="E95" s="3"/>
      <c r="F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</row>
    <row r="97" customFormat="false" ht="15" hidden="false" customHeight="true" outlineLevel="0" collapsed="false">
      <c r="A97" s="33" t="s">
        <v>253</v>
      </c>
      <c r="B97" s="3"/>
      <c r="C97" s="3"/>
      <c r="D97" s="3"/>
      <c r="E97" s="3"/>
      <c r="F97" s="3"/>
    </row>
    <row r="98" customFormat="false" ht="15" hidden="false" customHeight="true" outlineLevel="0" collapsed="false">
      <c r="A98" s="43" t="s">
        <v>254</v>
      </c>
      <c r="B98" s="43"/>
      <c r="C98" s="43"/>
      <c r="D98" s="43"/>
      <c r="E98" s="43"/>
      <c r="F98" s="43"/>
    </row>
    <row r="99" customFormat="false" ht="15" hidden="false" customHeight="true" outlineLevel="0" collapsed="false">
      <c r="A99" s="43" t="s">
        <v>255</v>
      </c>
      <c r="B99" s="43"/>
      <c r="C99" s="43"/>
      <c r="D99" s="43"/>
      <c r="E99" s="43"/>
      <c r="F99" s="43"/>
    </row>
    <row r="100" customFormat="false" ht="15" hidden="false" customHeight="true" outlineLevel="0" collapsed="false">
      <c r="A100" s="43" t="s">
        <v>256</v>
      </c>
      <c r="B100" s="43"/>
      <c r="C100" s="43"/>
      <c r="D100" s="43"/>
      <c r="E100" s="43"/>
      <c r="F100" s="43"/>
    </row>
    <row r="101" customFormat="false" ht="15" hidden="false" customHeight="true" outlineLevel="0" collapsed="false">
      <c r="A101" s="43" t="s">
        <v>257</v>
      </c>
      <c r="B101" s="43"/>
      <c r="C101" s="43"/>
      <c r="D101" s="43"/>
      <c r="E101" s="43"/>
      <c r="F101" s="43"/>
    </row>
    <row r="102" customFormat="false" ht="15" hidden="false" customHeight="true" outlineLevel="0" collapsed="false">
      <c r="A102" s="44" t="s">
        <v>258</v>
      </c>
      <c r="B102" s="44"/>
      <c r="C102" s="44"/>
      <c r="D102" s="44"/>
      <c r="E102" s="44"/>
      <c r="F102" s="44"/>
    </row>
    <row r="103" customFormat="false" ht="15" hidden="false" customHeight="true" outlineLevel="0" collapsed="false">
      <c r="A103" s="44" t="s">
        <v>259</v>
      </c>
      <c r="B103" s="44"/>
      <c r="C103" s="44"/>
      <c r="D103" s="44"/>
      <c r="E103" s="44"/>
      <c r="F103" s="44"/>
    </row>
    <row r="104" customFormat="false" ht="15" hidden="false" customHeight="true" outlineLevel="0" collapsed="false">
      <c r="A104" s="44" t="s">
        <v>260</v>
      </c>
      <c r="B104" s="44"/>
      <c r="C104" s="44"/>
      <c r="D104" s="44"/>
      <c r="E104" s="44"/>
      <c r="F104" s="44"/>
    </row>
    <row r="105" customFormat="false" ht="15" hidden="false" customHeight="true" outlineLevel="0" collapsed="false">
      <c r="A105" s="44" t="s">
        <v>261</v>
      </c>
      <c r="B105" s="44"/>
      <c r="C105" s="44"/>
      <c r="D105" s="44"/>
      <c r="E105" s="44"/>
      <c r="F105" s="44"/>
    </row>
    <row r="106" customFormat="false" ht="15" hidden="false" customHeight="true" outlineLevel="0" collapsed="false">
      <c r="A106" s="44" t="s">
        <v>262</v>
      </c>
      <c r="B106" s="44"/>
      <c r="C106" s="44"/>
      <c r="D106" s="44"/>
      <c r="E106" s="44"/>
      <c r="F106" s="44"/>
    </row>
    <row r="107" customFormat="false" ht="15" hidden="false" customHeight="true" outlineLevel="0" collapsed="false">
      <c r="A107" s="44" t="s">
        <v>263</v>
      </c>
      <c r="B107" s="44"/>
      <c r="C107" s="44"/>
      <c r="D107" s="44"/>
      <c r="E107" s="44"/>
      <c r="F107" s="4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">
    <mergeCell ref="A2:G2"/>
    <mergeCell ref="A4:C4"/>
    <mergeCell ref="A8:F8"/>
    <mergeCell ref="A9:F9"/>
    <mergeCell ref="A24:C24"/>
    <mergeCell ref="A25:C2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2026-08-06T07:02:41Z</dcterms:created>
  <dc:creator>openpyxl</dc:creator>
  <dc:description/>
  <dc:language>en-IN</dc:language>
  <cp:lastModifiedBy/>
  <dcterms:modified xsi:type="dcterms:W3CDTF">2026-08-07T08:22:20Z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